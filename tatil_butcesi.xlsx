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lien\Downloads\vilnius kaunos biletleri\"/>
    </mc:Choice>
  </mc:AlternateContent>
  <xr:revisionPtr revIDLastSave="0" documentId="13_ncr:1_{3F17AC02-B56C-46A3-AE90-F05C2C1023EA}" xr6:coauthVersionLast="47" xr6:coauthVersionMax="47" xr10:uidLastSave="{00000000-0000-0000-0000-000000000000}"/>
  <bookViews>
    <workbookView xWindow="-110" yWindow="-110" windowWidth="25820" windowHeight="15500" activeTab="8" xr2:uid="{00000000-000D-0000-FFFF-FFFF00000000}"/>
  </bookViews>
  <sheets>
    <sheet name="Inputs" sheetId="1" r:id="rId1"/>
    <sheet name="Costs" sheetId="2" r:id="rId2"/>
    <sheet name="Sayfa1" sheetId="3" r:id="rId3"/>
    <sheet name="Dashboard" sheetId="4" r:id="rId4"/>
    <sheet name="Itinerary" sheetId="5" r:id="rId5"/>
    <sheet name="Plan_Check" sheetId="6" r:id="rId6"/>
    <sheet name="Recommendations" sheetId="7" r:id="rId7"/>
    <sheet name="Sources" sheetId="8" r:id="rId8"/>
    <sheet name="Borç ve Hesaplaşma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9" i="4" l="1"/>
  <c r="E19" i="4"/>
  <c r="D19" i="4"/>
  <c r="C19" i="4"/>
  <c r="F18" i="4"/>
  <c r="E18" i="4"/>
  <c r="D18" i="4"/>
  <c r="C18" i="4"/>
  <c r="B18" i="4"/>
  <c r="F17" i="4"/>
  <c r="E17" i="4"/>
  <c r="D17" i="4"/>
  <c r="C17" i="4"/>
  <c r="B17" i="4"/>
  <c r="F16" i="4"/>
  <c r="E16" i="4"/>
  <c r="D16" i="4"/>
  <c r="C16" i="4"/>
  <c r="F15" i="4"/>
  <c r="E15" i="4"/>
  <c r="D15" i="4"/>
  <c r="C15" i="4"/>
  <c r="F14" i="4"/>
  <c r="E14" i="4"/>
  <c r="D14" i="4"/>
  <c r="C14" i="4"/>
  <c r="B14" i="4"/>
  <c r="F13" i="4"/>
  <c r="E13" i="4"/>
  <c r="D13" i="4"/>
  <c r="C13" i="4"/>
  <c r="F12" i="4"/>
  <c r="E12" i="4"/>
  <c r="D12" i="4"/>
  <c r="C12" i="4"/>
  <c r="F11" i="4"/>
  <c r="E11" i="4"/>
  <c r="D11" i="4"/>
  <c r="C11" i="4"/>
  <c r="B7" i="4"/>
  <c r="D6" i="4"/>
  <c r="B6" i="4"/>
  <c r="F5" i="4"/>
  <c r="O8" i="3"/>
  <c r="P8" i="3" s="1"/>
  <c r="J8" i="3"/>
  <c r="H8" i="3"/>
  <c r="O7" i="3"/>
  <c r="P7" i="3" s="1"/>
  <c r="O6" i="3"/>
  <c r="P6" i="3" s="1"/>
  <c r="O5" i="3"/>
  <c r="H5" i="3"/>
  <c r="O4" i="3"/>
  <c r="P4" i="3" s="1"/>
  <c r="J4" i="3"/>
  <c r="H4" i="3"/>
  <c r="G4" i="3"/>
  <c r="P3" i="3"/>
  <c r="O3" i="3"/>
  <c r="J3" i="3"/>
  <c r="I3" i="3"/>
  <c r="H3" i="3"/>
  <c r="O2" i="3"/>
  <c r="P2" i="3" s="1"/>
  <c r="J2" i="3"/>
  <c r="I2" i="3"/>
  <c r="H2" i="3"/>
  <c r="P1" i="3"/>
  <c r="O1" i="3"/>
  <c r="Q33" i="2"/>
  <c r="P33" i="2"/>
  <c r="B19" i="4" s="1"/>
  <c r="P32" i="2"/>
  <c r="Q32" i="2" s="1"/>
  <c r="Q31" i="2"/>
  <c r="P31" i="2"/>
  <c r="P30" i="2"/>
  <c r="Q30" i="2" s="1"/>
  <c r="P29" i="2"/>
  <c r="B16" i="4" s="1"/>
  <c r="K27" i="2"/>
  <c r="I27" i="2"/>
  <c r="H27" i="2"/>
  <c r="P26" i="2"/>
  <c r="Q26" i="2" s="1"/>
  <c r="J26" i="2"/>
  <c r="I26" i="2"/>
  <c r="P25" i="2"/>
  <c r="Q25" i="2" s="1"/>
  <c r="K25" i="2"/>
  <c r="J25" i="2"/>
  <c r="I25" i="2"/>
  <c r="P24" i="2"/>
  <c r="Q24" i="2" s="1"/>
  <c r="J24" i="2"/>
  <c r="P23" i="2"/>
  <c r="Q23" i="2" s="1"/>
  <c r="P22" i="2"/>
  <c r="P21" i="2"/>
  <c r="K21" i="2"/>
  <c r="Q20" i="2"/>
  <c r="P20" i="2"/>
  <c r="H19" i="2"/>
  <c r="P19" i="2" s="1"/>
  <c r="Q19" i="2" s="1"/>
  <c r="P18" i="2"/>
  <c r="Q18" i="2" s="1"/>
  <c r="P17" i="2"/>
  <c r="Q17" i="2" s="1"/>
  <c r="J17" i="2"/>
  <c r="P16" i="2"/>
  <c r="I16" i="2"/>
  <c r="P15" i="2"/>
  <c r="Q15" i="2" s="1"/>
  <c r="J15" i="2"/>
  <c r="P14" i="2"/>
  <c r="Q14" i="2" s="1"/>
  <c r="J14" i="2"/>
  <c r="I14" i="2"/>
  <c r="P13" i="2"/>
  <c r="Q13" i="2" s="1"/>
  <c r="K13" i="2"/>
  <c r="I13" i="2"/>
  <c r="H13" i="2"/>
  <c r="F6" i="4" s="1"/>
  <c r="P12" i="2"/>
  <c r="Q12" i="2" s="1"/>
  <c r="P11" i="2"/>
  <c r="B13" i="4" s="1"/>
  <c r="P10" i="2"/>
  <c r="Q10" i="2" s="1"/>
  <c r="K10" i="2"/>
  <c r="J10" i="2"/>
  <c r="I10" i="2"/>
  <c r="P9" i="2"/>
  <c r="Q9" i="2" s="1"/>
  <c r="K9" i="2"/>
  <c r="J9" i="2"/>
  <c r="I9" i="2"/>
  <c r="Q8" i="2"/>
  <c r="P8" i="2"/>
  <c r="P7" i="2"/>
  <c r="Q7" i="2" s="1"/>
  <c r="K7" i="2"/>
  <c r="J7" i="2"/>
  <c r="I7" i="2"/>
  <c r="P6" i="2"/>
  <c r="B11" i="4" s="1"/>
  <c r="J6" i="2"/>
  <c r="Q5" i="2"/>
  <c r="P5" i="2"/>
  <c r="K5" i="2"/>
  <c r="J5" i="2"/>
  <c r="I5" i="2"/>
  <c r="B15" i="4" l="1"/>
  <c r="B12" i="4"/>
  <c r="B5" i="4"/>
  <c r="Q6" i="2"/>
  <c r="Q11" i="2"/>
  <c r="Q29" i="2"/>
  <c r="D5" i="4" l="1"/>
  <c r="D7" i="4"/>
  <c r="F7" i="4" s="1"/>
</calcChain>
</file>

<file path=xl/sharedStrings.xml><?xml version="1.0" encoding="utf-8"?>
<sst xmlns="http://schemas.openxmlformats.org/spreadsheetml/2006/main" count="898" uniqueCount="416">
  <si>
    <t>📊 Tatil Bütçesi Borç Hesaplaşma ve Netleştirme Raporu</t>
  </si>
  <si>
    <t>1. Netleşmiş Tek Para Birimi (TL) Ödeme Planı</t>
  </si>
  <si>
    <t>Tüm para birimleri güncel kurlarla TL'ye çevrilip netleştirilmiş, yapılması gereken transfer listesi (Arayüzle birebir uyumlu):</t>
  </si>
  <si>
    <t>Kimden (Borçlu)</t>
  </si>
  <si>
    <t>Yön</t>
  </si>
  <si>
    <t>Kime (Alacaklı)</t>
  </si>
  <si>
    <t>Tutar (TL)</t>
  </si>
  <si>
    <t>EKREM</t>
  </si>
  <si>
    <t>➔</t>
  </si>
  <si>
    <t>FATİH</t>
  </si>
  <si>
    <t>GÜLTEKİN</t>
  </si>
  <si>
    <t>2. Döviz Cinsinden Ödeme Planı (Orijinal Kurlar)</t>
  </si>
  <si>
    <t>Para birimlerine göre ayrı ayrı borçlaşmaları gösterir (herkes kendi dövizinde ödeme yapmak isterse):</t>
  </si>
  <si>
    <t>Para Birimi</t>
  </si>
  <si>
    <t>Tutar (Döviz Cinsi)</t>
  </si>
  <si>
    <t>TL Karşılığı</t>
  </si>
  <si>
    <t>TL</t>
  </si>
  <si>
    <t>EUR</t>
  </si>
  <si>
    <t>SEK</t>
  </si>
  <si>
    <t>3. Kişi Bazlı Genel Bakiye Durumu (TL Eşdeğeri)</t>
  </si>
  <si>
    <t>Kişi</t>
  </si>
  <si>
    <t>Toplam Ödediği (TL Eşdeğer)</t>
  </si>
  <si>
    <t>Düşen Payı (TL Eşdeğer)</t>
  </si>
  <si>
    <t>Net Bakiye (TL) (Alacak / -Borç)</t>
  </si>
  <si>
    <t>4. Kalem Bazlı Detaylı Borç Dağılımı (Hangi Kalem İçin Kim Kime Borçlu?)</t>
  </si>
  <si>
    <t>Harcama detaylarına göre kimin kime ne için borçlandığını gösteren ayrıntılı liste:</t>
  </si>
  <si>
    <t>No</t>
  </si>
  <si>
    <t>Kategori</t>
  </si>
  <si>
    <t>Harcama Kalemi</t>
  </si>
  <si>
    <t>Borçlu</t>
  </si>
  <si>
    <t>Alacaklı (Ödeyen)</t>
  </si>
  <si>
    <t>Borç Tutarı (Döviz)</t>
  </si>
  <si>
    <t>Uçak</t>
  </si>
  <si>
    <t>Antalya → Tallinn bagajlı</t>
  </si>
  <si>
    <t>Antalya → Tallinn bagajsız</t>
  </si>
  <si>
    <t>Tallinn → Vilnius</t>
  </si>
  <si>
    <t>Otobüs</t>
  </si>
  <si>
    <t>Vilnius → Kaunas</t>
  </si>
  <si>
    <t>Kaunas → Riga</t>
  </si>
  <si>
    <t>Riga → Tallinn</t>
  </si>
  <si>
    <t>Feribot</t>
  </si>
  <si>
    <t>Tallinn → Helsinki</t>
  </si>
  <si>
    <t>Tren</t>
  </si>
  <si>
    <t>Stockholm → Oslo</t>
  </si>
  <si>
    <t>Konaklama</t>
  </si>
  <si>
    <t>Kaunas / Hotel Metropolis</t>
  </si>
  <si>
    <t>Riga / Grey Stones Riga</t>
  </si>
  <si>
    <t>Tallinn / St. Barbara Hotel</t>
  </si>
  <si>
    <t>Helsinki / Scandic Park</t>
  </si>
  <si>
    <t>Oslo otelleri</t>
  </si>
  <si>
    <t>Oslo → İzmir bagajlı</t>
  </si>
  <si>
    <t>Oslo → İzmir bagajsız</t>
  </si>
  <si>
    <t>AFYON ANTALYA GİDİŞ</t>
  </si>
  <si>
    <t>Bütçe Girdileri ve Kur Ayarları</t>
  </si>
  <si>
    <t>Kur hücrelerini güncellerseniz tüm TL karşılıkları otomatik değişir.</t>
  </si>
  <si>
    <t>Parametre</t>
  </si>
  <si>
    <t>Değer</t>
  </si>
  <si>
    <t>Birim</t>
  </si>
  <si>
    <t>Kaynak / Not</t>
  </si>
  <si>
    <t>Düzenlenebilir mi?</t>
  </si>
  <si>
    <t>EUR_TL</t>
  </si>
  <si>
    <t>TCMB/Cbonds 19.06.2026 EUR/TRY</t>
  </si>
  <si>
    <t>Evet</t>
  </si>
  <si>
    <t>SEK_TL</t>
  </si>
  <si>
    <t>TCMB/Cbonds 19.06.2026 SEK/TRY</t>
  </si>
  <si>
    <t>NOK_TL</t>
  </si>
  <si>
    <t>TCMB/Cbonds 19.06.2026 NOK/TRY</t>
  </si>
  <si>
    <t>BUFFER</t>
  </si>
  <si>
    <t>%</t>
  </si>
  <si>
    <t>Beklenmeyen masraflar için önerilen pay</t>
  </si>
  <si>
    <t>YOLCU_SAYISI</t>
  </si>
  <si>
    <t>kişi</t>
  </si>
  <si>
    <t>Dosyadaki toplam yolcu sayısı</t>
  </si>
  <si>
    <t>GUN_SAYISI</t>
  </si>
  <si>
    <t>gün</t>
  </si>
  <si>
    <t>22–31 Temmuz 2026</t>
  </si>
  <si>
    <t>GECIKME_BUFFER_DK</t>
  </si>
  <si>
    <t>dk</t>
  </si>
  <si>
    <t>Havalimanı/liman/gar transferlerinde önerilen ek güvenlik payı</t>
  </si>
  <si>
    <t>Fiyat Hesaplama Tablosu</t>
  </si>
  <si>
    <t>Tutar kolonundaki eksik kalemleri doldurun; TL karşılığı ve toplamlar otomatik hesaplanır.</t>
  </si>
  <si>
    <t>Tarih</t>
  </si>
  <si>
    <t>Kalem / Güzergah</t>
  </si>
  <si>
    <t>Firma/Otel</t>
  </si>
  <si>
    <t>kim ödedi</t>
  </si>
  <si>
    <t>Tutar</t>
  </si>
  <si>
    <t>Kapsanan Kişi</t>
  </si>
  <si>
    <t>Durum</t>
  </si>
  <si>
    <t>Risk</t>
  </si>
  <si>
    <t>Not</t>
  </si>
  <si>
    <t>Kişi Başı TL</t>
  </si>
  <si>
    <t>2026-07-22</t>
  </si>
  <si>
    <t>SunExpress XQ496</t>
  </si>
  <si>
    <t>Onaylı</t>
  </si>
  <si>
    <t>Düşük</t>
  </si>
  <si>
    <t>6 yetişkin için 1×20 kg</t>
  </si>
  <si>
    <t>-</t>
  </si>
  <si>
    <t>Orta</t>
  </si>
  <si>
    <t>3 kişi yalnız el bagajı</t>
  </si>
  <si>
    <t>2026-07-23</t>
  </si>
  <si>
    <t>Wizz Air</t>
  </si>
  <si>
    <t>Bagaj hakkı faturadan ayrıca kontrol edilmeli</t>
  </si>
  <si>
    <t>TOKS Neo / Kautra</t>
  </si>
  <si>
    <t>17:15–18:50</t>
  </si>
  <si>
    <t>2026-07-24</t>
  </si>
  <si>
    <t>FlixBus N1230</t>
  </si>
  <si>
    <t>18:05–21:45</t>
  </si>
  <si>
    <t>2026-07-25</t>
  </si>
  <si>
    <t>FlixBus N1301</t>
  </si>
  <si>
    <t>17:30–21:50; koltuklar atanmamış</t>
  </si>
  <si>
    <t>2026-07-26</t>
  </si>
  <si>
    <t>Eckerö Line M/s Finlandia</t>
  </si>
  <si>
    <t>Terminal A → West Harbour T2</t>
  </si>
  <si>
    <t>2026-07-27</t>
  </si>
  <si>
    <t>Helsinki → Stockholm</t>
  </si>
  <si>
    <t>Viking Line</t>
  </si>
  <si>
    <t>KİŞİSEL</t>
  </si>
  <si>
    <t>Gece feribotu; kabin dahil varsayıldı</t>
  </si>
  <si>
    <t>2026-07-29</t>
  </si>
  <si>
    <t>SJ 3000 Tren 645</t>
  </si>
  <si>
    <t>Tekatli/Ozdemir 5 kişi tutarı var; Kadayifci 4 kişi tutarı eksik biletleri var</t>
  </si>
  <si>
    <t>Hotel Metropolis</t>
  </si>
  <si>
    <t>3 oda, kahvaltı dahil</t>
  </si>
  <si>
    <t>Grey Stone Suits Riga</t>
  </si>
  <si>
    <t xml:space="preserve">kadayifci ve Fatih aileleri </t>
  </si>
  <si>
    <t>Riga / City in Riga Apartment</t>
  </si>
  <si>
    <t>City in Riga Apartment</t>
  </si>
  <si>
    <t>Tekatlı Ailesi</t>
  </si>
  <si>
    <t xml:space="preserve">Tallinn / Three Crowns </t>
  </si>
  <si>
    <t>Three Crowns Tallinn</t>
  </si>
  <si>
    <t>kadayifci  ailesi kahvaltı dahil</t>
  </si>
  <si>
    <t>St. Barbara Hotel</t>
  </si>
  <si>
    <t>Fatih ve Tekatlı ailesi çift ve 3 kişilik 2 oda</t>
  </si>
  <si>
    <t>Scandic Park Helsinki</t>
  </si>
  <si>
    <t>Ekrem 3 kişi + Kadayifci 4 kişi; Fatih/Seyda 2 kişi</t>
  </si>
  <si>
    <t>2026-07-28</t>
  </si>
  <si>
    <t>Stockholm / Wasa Park</t>
  </si>
  <si>
    <t>Wasa Park Hotel</t>
  </si>
  <si>
    <t>Tekatlı ailesi 3 kişi</t>
  </si>
  <si>
    <t>Stockholm /Hotel With Urban Deli</t>
  </si>
  <si>
    <t>Hotel With Urban Deli</t>
  </si>
  <si>
    <t>Fatih özdemir 2 kişi</t>
  </si>
  <si>
    <t>Gültekin KADAYİFCİ 1 king boy oda hotels.com</t>
  </si>
  <si>
    <t xml:space="preserve">Radisson RED </t>
  </si>
  <si>
    <t>EKREM VE FATİH AİLELERİ - 00:14 varış için geç check-in onayı alınmalı</t>
  </si>
  <si>
    <t>City Sea Lux</t>
  </si>
  <si>
    <t>NOK</t>
  </si>
  <si>
    <t>GÜLTEKİN 00:14 varış için geç check-in onayı alınmalı</t>
  </si>
  <si>
    <t>2026-07-30</t>
  </si>
  <si>
    <t>SunExpress XQ953</t>
  </si>
  <si>
    <t>6 kişi 1×20 kg</t>
  </si>
  <si>
    <t>2026-07-31</t>
  </si>
  <si>
    <t>Transfer</t>
  </si>
  <si>
    <t>İzmir → Afyon dönüş</t>
  </si>
  <si>
    <t>Belirlenecek</t>
  </si>
  <si>
    <t>Eksik</t>
  </si>
  <si>
    <t>Yüksek</t>
  </si>
  <si>
    <t>Tatil Antalya çıkışlı ama dönüş İzmir'de bitiyor</t>
  </si>
  <si>
    <t>Genel</t>
  </si>
  <si>
    <t>Şehir içi transferler</t>
  </si>
  <si>
    <t>Taksi / toplu taşıma</t>
  </si>
  <si>
    <t>Havalimanı, liman, otogar, otel transferleri bütçeye eklenmeli</t>
  </si>
  <si>
    <t>Yeme-İçme</t>
  </si>
  <si>
    <t>Günlük yemek bütçesi</t>
  </si>
  <si>
    <t>Restoran / market</t>
  </si>
  <si>
    <t>Günlük kişi başı bütçe belirlenmeli</t>
  </si>
  <si>
    <t>Aktivite</t>
  </si>
  <si>
    <t>Müze ve giriş ücretleri</t>
  </si>
  <si>
    <t>Müzeler</t>
  </si>
  <si>
    <t>Vasa, müzeler, şehir kartları vb.</t>
  </si>
  <si>
    <t>Evrak</t>
  </si>
  <si>
    <t>Vize / sigorta / hizmet bedeli</t>
  </si>
  <si>
    <t>Schengen vizesi, seyahat sigortası, aracı hizmet bedelleri</t>
  </si>
  <si>
    <t>Baltık &amp; İskandinavya Tatil Kontrol Paneli</t>
  </si>
  <si>
    <t>Kimlik/TC/pasaport numaraları bu dosyaya dahil edilmedi.</t>
  </si>
  <si>
    <t>Özet Göstergeler</t>
  </si>
  <si>
    <t>Toplam TL karşılığı</t>
  </si>
  <si>
    <t>Ortalama kişi başı</t>
  </si>
  <si>
    <t>Eksik/Kısmi kayıt</t>
  </si>
  <si>
    <t>TL toplamı</t>
  </si>
  <si>
    <t>EUR toplamı</t>
  </si>
  <si>
    <t>SEK toplamı</t>
  </si>
  <si>
    <t>Dosyadaki EUR özet farkı</t>
  </si>
  <si>
    <t>Önerilen %10 buffer</t>
  </si>
  <si>
    <t>Buffer dahil toplam</t>
  </si>
  <si>
    <t>Kayıt Sayısı</t>
  </si>
  <si>
    <t>Kısmi</t>
  </si>
  <si>
    <t>İlk Yapılacak 7 İş</t>
  </si>
  <si>
    <t>Riga 24–25 Temmuz: 5 kişilik eksik konaklamayı doğrula/ekle.</t>
  </si>
  <si>
    <t>Tallinn 25–26 Temmuz: St. Barbara 2 kişi mi, 9 kişi mi netleştir.</t>
  </si>
  <si>
    <t>Helsinki 26–27 Temmuz: Fatih &amp; Şeyda için oda durumunu kontrol et.</t>
  </si>
  <si>
    <t>Stockholm 28–29 Temmuz: 6 kişilik eksik konaklamayı çöz.</t>
  </si>
  <si>
    <t>Stockholm → Oslo treninde Kadayifci aile tutarını ekle.</t>
  </si>
  <si>
    <t>Wizz Air Tallinn→Vilnius bagaj hakkını PNR bazında kontrol et.</t>
  </si>
  <si>
    <t>İzmir → Antalya dönüş transferini planla.</t>
  </si>
  <si>
    <t>Gün Gün Güzergah Kontrolü</t>
  </si>
  <si>
    <t>Rota yoğun ama uygulanabilir; kritik nokta konaklama ve bağlantı güvenliği.</t>
  </si>
  <si>
    <t>Şehir/Güzergah</t>
  </si>
  <si>
    <t>Saat</t>
  </si>
  <si>
    <t>Ulaşım/Konaklama</t>
  </si>
  <si>
    <t>Kontrol Sonucu</t>
  </si>
  <si>
    <t>Önerilen Akış</t>
  </si>
  <si>
    <t>Yapılacak</t>
  </si>
  <si>
    <t>22 Tem</t>
  </si>
  <si>
    <t>Antalya → Tallinn</t>
  </si>
  <si>
    <t>23:25–03:35</t>
  </si>
  <si>
    <t>Uygun</t>
  </si>
  <si>
    <t>Havalimanına en az 2 saat önce; ayrı bilet bağlantısı için evraklar hazır</t>
  </si>
  <si>
    <t>Gece uçuşu sonrası Tallinn'de uzun bekleme var</t>
  </si>
  <si>
    <t>Online check-in ve koltuk/bagaj kontrolü</t>
  </si>
  <si>
    <t>23 Tem</t>
  </si>
  <si>
    <t>Tallinn → Vilnius → Kaunas</t>
  </si>
  <si>
    <t>08:05 + 17:15–18:50</t>
  </si>
  <si>
    <t>Wizz + TOKS</t>
  </si>
  <si>
    <t>Onaylı/Kısmi</t>
  </si>
  <si>
    <t>Uygun ama yorucu</t>
  </si>
  <si>
    <t>Vilnius merkez kısa yürüyüş: Katedral, Eski Şehir; 16:00 gibi otogara geç</t>
  </si>
  <si>
    <t>Tallinn-Vilnius varış saati dosyada eksik</t>
  </si>
  <si>
    <t>Wizz varış saatini ve bagajı kontrol et</t>
  </si>
  <si>
    <t>24 Tem</t>
  </si>
  <si>
    <t>FlixBus + Riga otel</t>
  </si>
  <si>
    <t>Konaklama eksik</t>
  </si>
  <si>
    <t>Kaunas yürüyüş rotası; 17:15 gibi otogarda olun</t>
  </si>
  <si>
    <t>Riga'da sadece 4 kişilik konaklama görünüyor</t>
  </si>
  <si>
    <t>riga konaklaması city in riga hotelde 3 kişi tekatlı ailesi</t>
  </si>
  <si>
    <t>25 Tem</t>
  </si>
  <si>
    <t>17:30–21:50</t>
  </si>
  <si>
    <t>FlixBus + Tallinn otel</t>
  </si>
  <si>
    <t>Riga Old Town + Central Market; 16:45 otogara geç</t>
  </si>
  <si>
    <t>Tallinn'de sadece 2 kişilik konaklama görünüyor</t>
  </si>
  <si>
    <t>7 kişilik oda/rezervasyon doğrula</t>
  </si>
  <si>
    <t>26 Tem</t>
  </si>
  <si>
    <t>18:30–21:00</t>
  </si>
  <si>
    <t>Eckerö Line + Scandic</t>
  </si>
  <si>
    <t>Helsinki konaklama eksik</t>
  </si>
  <si>
    <t>Tallinn Old Town; en geç 16:45 Terminal A</t>
  </si>
  <si>
    <t>Eckerö check-in 45 dk önce kapanır</t>
  </si>
  <si>
    <t>Fatih &amp; Şeyda odası netleşsin</t>
  </si>
  <si>
    <t>27 Tem</t>
  </si>
  <si>
    <t>18:10</t>
  </si>
  <si>
    <t>Viking Line gece feribotu</t>
  </si>
  <si>
    <t>Senato Meydanı + Market Square; Suomenlinna yapılacaksa kısa tutulmalı</t>
  </si>
  <si>
    <t>Katajanokka terminaline zamanında geçilmeli</t>
  </si>
  <si>
    <t>Kabin ve terminal bilgisini PNR ile doğrula</t>
  </si>
  <si>
    <t>28 Tem</t>
  </si>
  <si>
    <t>Stockholm</t>
  </si>
  <si>
    <t>Sabah varış + gece</t>
  </si>
  <si>
    <t>Viking + Wasa Park</t>
  </si>
  <si>
    <t>Viking terminali → Gamla Stan → Vasa Müzesi → otel</t>
  </si>
  <si>
    <t>Wasa Park 3 kişi; 6 kişi eksik</t>
  </si>
  <si>
    <t>6 kişilik oda çöz</t>
  </si>
  <si>
    <t>29 Tem</t>
  </si>
  <si>
    <t>18:19–00:14</t>
  </si>
  <si>
    <t>SJ Tren + Oslo otelleri</t>
  </si>
  <si>
    <t>Tren tutarı eksik</t>
  </si>
  <si>
    <t>Gündüz Stockholm; tren öncesi erken istasyon</t>
  </si>
  <si>
    <t>Oslo varış tarihi teknik olarak 30 Temmuz</t>
  </si>
  <si>
    <t>Otellere geç check-in mesajı at</t>
  </si>
  <si>
    <t>30 Tem</t>
  </si>
  <si>
    <t>Oslo → İzmir</t>
  </si>
  <si>
    <t>23:40–04:40</t>
  </si>
  <si>
    <t>Onaylı/Eksik</t>
  </si>
  <si>
    <t>Dönüş tamamlanmamış</t>
  </si>
  <si>
    <t>Opera + Akershus + Vigeland; 20:30 civarı OSL'ye hareket</t>
  </si>
  <si>
    <t>Tatil Antalya çıkışlı ama İzmir'de bitiyor</t>
  </si>
  <si>
    <t>İzmir→Antalya dönüşünü ekle</t>
  </si>
  <si>
    <t>Tam Plan Kontrol Raporu</t>
  </si>
  <si>
    <t>Öncelik sırasına göre eksikler ve önerilen düzeltmeler.</t>
  </si>
  <si>
    <t>Öncelik</t>
  </si>
  <si>
    <t>Konu</t>
  </si>
  <si>
    <t>Bulgu</t>
  </si>
  <si>
    <t>Neden önemli?</t>
  </si>
  <si>
    <t>Yapılacak işlem</t>
  </si>
  <si>
    <t>Sorumlu/Not</t>
  </si>
  <si>
    <t>Dosyada genel EUR toplamı €2.677,70 yazıyor; satır satır toplam €2.814,70 ediyor.</t>
  </si>
  <si>
    <t>€137 Wasa Park maliyeti toplamdan düşmüş görünüyor.</t>
  </si>
  <si>
    <t>Excelde toplam otomatik düzeltildi; ödeme kayıtlarıyla karşılaştır.</t>
  </si>
  <si>
    <t>Açık</t>
  </si>
  <si>
    <t>Riga konaklama</t>
  </si>
  <si>
    <t>Three Crowns Riga sadece Kadayifci 4 kişi için görünüyor.</t>
  </si>
  <si>
    <t>Gece varışta 5 kişi için oda belirsiz.</t>
  </si>
  <si>
    <t>Ekrem/Tekatli-Ozdemir 5 kişi için oda/rezervasyon ekle.</t>
  </si>
  <si>
    <t>Tallinn konaklama</t>
  </si>
  <si>
    <t>St. Barbara Hotel sadece 2 kişi olarak görünmekte.</t>
  </si>
  <si>
    <t>25 Temmuz gecesi 7 kişi açıkta kalabilir.</t>
  </si>
  <si>
    <t>Rezervasyon kişi sayısını teyit et; gerekirse 7 kişilik oda ekle.</t>
  </si>
  <si>
    <t>Helsinki konaklama</t>
  </si>
  <si>
    <t>Scandic Park toplam 7 kişi; Fatih ve Şeyda görünmüyor.</t>
  </si>
  <si>
    <t>26 Temmuz geç varışta oda sorunu yaşanabilir.</t>
  </si>
  <si>
    <t>2 kişi için rezervasyon/oda paylaşımı netleşsin.</t>
  </si>
  <si>
    <t>Stockholm konaklama</t>
  </si>
  <si>
    <t>Wasa Park sadece 3 kişi; 6 kişi eksik.</t>
  </si>
  <si>
    <t>Stockholm konaklama fiyatları yüksek olabilir; erken çözülmeli.</t>
  </si>
  <si>
    <t>6 kişilik konaklama ekle veya mevcut rezervasyonu genişlet.</t>
  </si>
  <si>
    <t>Tren ücreti</t>
  </si>
  <si>
    <t>Stockholm→Oslo treninde Kadayifci 4 kişi tutarı yok.</t>
  </si>
  <si>
    <t>Genel toplam eksik hesaplanıyor.</t>
  </si>
  <si>
    <t>PNR WWM4LSCU faturasını bul ve Costs satır 18'e gir.</t>
  </si>
  <si>
    <t>Oslo geç varış</t>
  </si>
  <si>
    <t>Tren Oslo'ya 00:14'te varıyor.</t>
  </si>
  <si>
    <t>Otel check-in tarihi 29 Temmuz ise gece yarısı sonrası check-in garanti edilmeli.</t>
  </si>
  <si>
    <t>Radisson RED ve City Sea Lux'a geç check-in bilgisi ver.</t>
  </si>
  <si>
    <t>Dönüş şehri</t>
  </si>
  <si>
    <t>Dönüş İzmir'de bitiyor, başlangıç Antalya.</t>
  </si>
  <si>
    <t>Ailelerin Antalya'ya/ikamet yerine dönüşü bütçede yok.</t>
  </si>
  <si>
    <t>İzmir→Antalya uçak/otobüs/araç planı ekle.</t>
  </si>
  <si>
    <t>Wizz bagaj</t>
  </si>
  <si>
    <t>Wizz Air bagaj hakkı dosyada net değil.</t>
  </si>
  <si>
    <t>SunExpress bagajlı yolcuların valizi Wizz uçuşunda sorun yaratabilir.</t>
  </si>
  <si>
    <t>PNR bazında kabin/checked bagaj kontrolü yap.</t>
  </si>
  <si>
    <t>Yoğun tempo</t>
  </si>
  <si>
    <t>Her şehirde çok kısa süre var.</t>
  </si>
  <si>
    <t>9 kişi ve çocuklarla gecikme riski artar.</t>
  </si>
  <si>
    <t>Her şehirde 2–3 ana nokta seç; müze sayısını azalt.</t>
  </si>
  <si>
    <t>Güzergah ve Şehir Tavsiyeleri</t>
  </si>
  <si>
    <t>9 kişilik grup ve çocuklarla uygulanabilir kısa rotalar.</t>
  </si>
  <si>
    <t>Şehir</t>
  </si>
  <si>
    <t>Zaman</t>
  </si>
  <si>
    <t>Önerilen rota</t>
  </si>
  <si>
    <t>Ulaşım / transfer</t>
  </si>
  <si>
    <t>Kaçınılacak / dikkat</t>
  </si>
  <si>
    <t>Bütçe notu</t>
  </si>
  <si>
    <t>Kaynak / Kontrol</t>
  </si>
  <si>
    <t>Tallinn</t>
  </si>
  <si>
    <t>23 Tem sabah + 26 Tem gündüz</t>
  </si>
  <si>
    <t>Old Town, Toompea, Alexander Nevsky, Town Hall Square</t>
  </si>
  <si>
    <t>Terminal A Old Town'a yakın; 26 Tem en geç 16:45 limanda olun</t>
  </si>
  <si>
    <t>Aynı gün hem şehir hem liman yoğun olabilir</t>
  </si>
  <si>
    <t>Taksi/Bolt bütçesi ekleyin</t>
  </si>
  <si>
    <t>Eckerö terminal ve check-in bilgisi</t>
  </si>
  <si>
    <t>Vilnius</t>
  </si>
  <si>
    <t>23 Tem gündüz</t>
  </si>
  <si>
    <t>Katedral Meydanı, Gediminas, Eski Şehir, Užupis kısa yürüyüş</t>
  </si>
  <si>
    <t>Havalimanı → merkez → otogar için taksi/bolt önerilir</t>
  </si>
  <si>
    <t>Valizle uzun yürüyüşten kaçının</t>
  </si>
  <si>
    <t>Luggage storage/transfer eklenmeli</t>
  </si>
  <si>
    <t>Kaunas</t>
  </si>
  <si>
    <t>23 gece + 24 gündüz</t>
  </si>
  <si>
    <t>Laisvės Alėja, Belediye Meydanı, Kaunas Kalesi</t>
  </si>
  <si>
    <t>Hotel Metropolis merkezde; yürüyüş ağırlıklı</t>
  </si>
  <si>
    <t>IX Fort zaman alır, kısa kalışta zor</t>
  </si>
  <si>
    <t>Öğle yemeği + otogar taksi ekle</t>
  </si>
  <si>
    <t>Riga</t>
  </si>
  <si>
    <t>24 gece + 25 gündüz</t>
  </si>
  <si>
    <t>Old Town, Dome, House of Blackheads, Özgürlük Anıtı, Central Market</t>
  </si>
  <si>
    <t>Gece otobüs varışında taksi daha güvenli</t>
  </si>
  <si>
    <t>Otogar çevresinde valizle geç saat dolaşmayın</t>
  </si>
  <si>
    <t>Eksik otel çözülmeli</t>
  </si>
  <si>
    <t>Helsinki</t>
  </si>
  <si>
    <t>26 gece + 27 gündüz</t>
  </si>
  <si>
    <t>Senato Meydanı, Helsinki Katedrali, Uspenski, Market Square; kısa Suomenlinna</t>
  </si>
  <si>
    <t>West Harbour T2 → otel; 27 Tem Katajanokka terminaline erken geç</t>
  </si>
  <si>
    <t>Suomenlinna yapılırsa feribot dönüş payı bırakın</t>
  </si>
  <si>
    <t>Tram/grup bilet bütçesi ekleyin</t>
  </si>
  <si>
    <t>HSL/Suomenlinna; Viking terminal bilgisi</t>
  </si>
  <si>
    <t>28 gündüz + 29 gündüz</t>
  </si>
  <si>
    <t>Gamla Stan, Kraliyet Sarayı dış alan, Vasa Müzesi, Djurgården</t>
  </si>
  <si>
    <t>Viking Stadsgården → otel/merkez; tren günü luggage storage</t>
  </si>
  <si>
    <t>Müzeleri 1–2 ile sınırlandırın</t>
  </si>
  <si>
    <t>Vasa yetişkin bileti pahalı; çocuklar ücretsiz olabilir</t>
  </si>
  <si>
    <t>Vasa Museum saatleri</t>
  </si>
  <si>
    <t>Oslo</t>
  </si>
  <si>
    <t>30 Tem gündüz</t>
  </si>
  <si>
    <t>Opera, Akershus, Karl Johans Gate, Vigeland Park; alternatif Fram/Kon-Tiki</t>
  </si>
  <si>
    <t>Oslo S → OSL tren 23 dk; uçuş için 20:30 civarı hareket iyi</t>
  </si>
  <si>
    <t>Viking Ship Museum kapalı</t>
  </si>
  <si>
    <t>NOK harcama ve havalimanı treni bütçeye eklenmeli</t>
  </si>
  <si>
    <t>Vy; Viking Museum closure</t>
  </si>
  <si>
    <t>Kaynaklar ve Notlar</t>
  </si>
  <si>
    <t>Excel içindeki güncel tavsiyelerde kullanılan doğrulama kaynakları.</t>
  </si>
  <si>
    <t>Kaynak</t>
  </si>
  <si>
    <t>URL</t>
  </si>
  <si>
    <t>Planın kaynağı</t>
  </si>
  <si>
    <t>Kullanıcı tarafından yüklenen markdown planı</t>
  </si>
  <si>
    <t>Yapıştırılan markdown(1).md</t>
  </si>
  <si>
    <t>Uçuş, otel, feribot ve maliyet kalemleri bu dosyadan alınmıştır.</t>
  </si>
  <si>
    <t>Kur verileri</t>
  </si>
  <si>
    <t>TCMB / Cbonds</t>
  </si>
  <si>
    <t>https://cbonds.com/indexes/180233/</t>
  </si>
  <si>
    <t>EUR/TRY, SEK/TRY, NOK/TRY değerleri 19.06.2026 satırlarından alınmıştır; güncellenebilir.</t>
  </si>
  <si>
    <t>Eckerö Line check-in</t>
  </si>
  <si>
    <t>Eckerö Line</t>
  </si>
  <si>
    <t>https://www.eckeroline.com/how-to-check-in</t>
  </si>
  <si>
    <t>Check-in 2 saat önce başlar, 45 dk önce kapanır.</t>
  </si>
  <si>
    <t>Eckerö Tallinn terminal</t>
  </si>
  <si>
    <t>Eckerö Line Tallinn harbour</t>
  </si>
  <si>
    <t>https://www.eckeroline.com/harbour-connections-tallinn</t>
  </si>
  <si>
    <t>Tallinn A-terminal; Old Town'a yakın.</t>
  </si>
  <si>
    <t>Schengen evrak</t>
  </si>
  <si>
    <t>Your Europe</t>
  </si>
  <si>
    <t>https://europa.eu/youreurope/citizens/travel/entry-exit/non-eu-nationals/index_en.htm</t>
  </si>
  <si>
    <t>Pasaport 3 ay kuralı ve 10 yıl içinde düzenlenmiş olma şartı.</t>
  </si>
  <si>
    <t>Viking Line terminal</t>
  </si>
  <si>
    <t>Viking Line Helsinki harbour</t>
  </si>
  <si>
    <t>https://www.sales.vikingline.com/my-booking/good-to-know/harbours/helsinki/</t>
  </si>
  <si>
    <t>Helsinki Katajanokka terminal adresi.</t>
  </si>
  <si>
    <t>Stockholm terminal</t>
  </si>
  <si>
    <t>Viking Line Stockholm harbour</t>
  </si>
  <si>
    <t>https://www.sales.vikingline.com/my-booking/good-to-know/harbours/stockholm/</t>
  </si>
  <si>
    <t>Stockholm Stadsgården terminal bilgisi.</t>
  </si>
  <si>
    <t>Vasa Museum</t>
  </si>
  <si>
    <t>Vasa Museum official</t>
  </si>
  <si>
    <t>https://www.vasamuseet.se/en/visit/hours--admission</t>
  </si>
  <si>
    <t>Haziran–Ağustos 08:30–18:00.</t>
  </si>
  <si>
    <t>Suomenlinna ulaşım</t>
  </si>
  <si>
    <t>HSL</t>
  </si>
  <si>
    <t>https://www.hsl.fi/en/travelling/visitors/suomenlinna</t>
  </si>
  <si>
    <t>Kauppatori'den 15 dk feribot; yazın sık sefer.</t>
  </si>
  <si>
    <t>Oslo havalimanı treni</t>
  </si>
  <si>
    <t>Vy</t>
  </si>
  <si>
    <t>https://www.vy.no/en/travelling-with-vy/to-and-from-airport</t>
  </si>
  <si>
    <t>Oslo S → OSL yaklaşık 23 dk.</t>
  </si>
  <si>
    <t>Oslo Viking Museum</t>
  </si>
  <si>
    <t>Museum of the Viking Age</t>
  </si>
  <si>
    <t>https://www.vikingtidsmuseet.no/english/</t>
  </si>
  <si>
    <t>Viking Ship Museum kapalı; 2027'de açılması planlanıyor.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</si>
</sst>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"/>
    <numFmt numFmtId="165" formatCode="\₺#,##0.00"/>
    <numFmt numFmtId="166" formatCode="[$€-2]\ #,##0.00"/>
    <numFmt numFmtId="167" formatCode="#,##0.00&quot; SEK&quot;"/>
  </numFmts>
  <fonts count="15">
    <font>
      <sz val="11"/>
      <name val="Carlito"/>
    </font>
    <font>
      <sz val="10"/>
      <color rgb="FF334155"/>
      <name val="Carlito"/>
    </font>
    <font>
      <b/>
      <sz val="11"/>
      <color rgb="FFFFFFFF"/>
      <name val="Carlito"/>
    </font>
    <font>
      <b/>
      <sz val="11"/>
      <color rgb="FF0F172A"/>
      <name val="Carlito"/>
    </font>
    <font>
      <b/>
      <sz val="11"/>
      <color rgb="FF1D4ED8"/>
      <name val="Carlito"/>
    </font>
    <font>
      <sz val="11"/>
      <color rgb="FF7F1D1D"/>
      <name val="Carlito"/>
    </font>
    <font>
      <b/>
      <sz val="10"/>
      <color rgb="FFFFFFFF"/>
      <name val="Calibri"/>
    </font>
    <font>
      <sz val="10"/>
      <name val="Calibri"/>
    </font>
    <font>
      <sz val="11"/>
      <color theme="1"/>
      <name val="Carlito"/>
    </font>
    <font>
      <b/>
      <sz val="16"/>
      <color rgb="FF1E293B"/>
      <name val="Segoe UI"/>
    </font>
    <font>
      <b/>
      <sz val="12"/>
      <color rgb="FF1E293B"/>
      <name val="Segoe UI"/>
    </font>
    <font>
      <i/>
      <sz val="9"/>
      <color rgb="FF64748B"/>
      <name val="Segoe UI"/>
    </font>
    <font>
      <b/>
      <sz val="10"/>
      <color rgb="FFFFFFFF"/>
      <name val="Segoe UI"/>
    </font>
    <font>
      <b/>
      <sz val="10"/>
      <color rgb="FF1E293B"/>
      <name val="Segoe UI"/>
    </font>
    <font>
      <sz val="10"/>
      <color rgb="FF334155"/>
      <name val="Segoe UI"/>
    </font>
  </fonts>
  <fills count="21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E2E8F0"/>
      </patternFill>
    </fill>
    <fill>
      <patternFill patternType="solid">
        <fgColor rgb="FF1D4ED8"/>
      </patternFill>
    </fill>
    <fill>
      <patternFill patternType="solid">
        <fgColor rgb="FF334155"/>
      </patternFill>
    </fill>
    <fill>
      <patternFill patternType="solid">
        <fgColor rgb="FFE0F2FE"/>
      </patternFill>
    </fill>
    <fill>
      <patternFill patternType="solid">
        <fgColor rgb="FFF8FAFC"/>
      </patternFill>
    </fill>
    <fill>
      <patternFill patternType="solid">
        <fgColor rgb="FFDC2626"/>
      </patternFill>
    </fill>
    <fill>
      <patternFill patternType="solid">
        <fgColor rgb="FFFEF2F2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00B050"/>
        <bgColor indexed="64"/>
      </patternFill>
    </fill>
    <fill>
      <patternFill patternType="solid">
        <fgColor rgb="FF1E293B"/>
        <bgColor rgb="FF1E293B"/>
      </patternFill>
    </fill>
    <fill>
      <patternFill patternType="solid">
        <fgColor rgb="FFF1F5F9"/>
        <bgColor rgb="FFF1F5F9"/>
      </patternFill>
    </fill>
    <fill>
      <patternFill patternType="solid">
        <fgColor rgb="FF475569"/>
        <bgColor rgb="FF475569"/>
      </patternFill>
    </fill>
    <fill>
      <patternFill patternType="solid">
        <fgColor rgb="FFF8FAFC"/>
        <bgColor rgb="FFF8FAFC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2" fillId="4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9" fontId="0" fillId="0" borderId="0" xfId="0" applyNumberFormat="1" applyAlignment="1">
      <alignment wrapText="1"/>
    </xf>
    <xf numFmtId="4" fontId="0" fillId="0" borderId="0" xfId="0" applyNumberFormat="1" applyAlignment="1">
      <alignment wrapText="1"/>
    </xf>
    <xf numFmtId="0" fontId="3" fillId="6" borderId="0" xfId="0" applyFont="1" applyFill="1" applyAlignment="1">
      <alignment vertical="center" wrapText="1"/>
    </xf>
    <xf numFmtId="4" fontId="4" fillId="7" borderId="0" xfId="0" applyNumberFormat="1" applyFont="1" applyFill="1" applyAlignment="1">
      <alignment vertical="center" wrapText="1"/>
    </xf>
    <xf numFmtId="0" fontId="7" fillId="0" borderId="0" xfId="0" applyFont="1"/>
    <xf numFmtId="4" fontId="0" fillId="7" borderId="0" xfId="0" applyNumberFormat="1" applyFill="1" applyAlignment="1">
      <alignment vertical="center" wrapText="1"/>
    </xf>
    <xf numFmtId="0" fontId="0" fillId="7" borderId="0" xfId="0" applyFill="1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wrapText="1"/>
    </xf>
    <xf numFmtId="4" fontId="0" fillId="14" borderId="1" xfId="0" applyNumberFormat="1" applyFill="1" applyBorder="1" applyAlignment="1">
      <alignment wrapText="1"/>
    </xf>
    <xf numFmtId="4" fontId="0" fillId="0" borderId="1" xfId="0" applyNumberForma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4" fontId="0" fillId="0" borderId="1" xfId="0" applyNumberFormat="1" applyBorder="1" applyAlignment="1">
      <alignment wrapText="1"/>
    </xf>
    <xf numFmtId="0" fontId="0" fillId="0" borderId="1" xfId="0" applyBorder="1"/>
    <xf numFmtId="4" fontId="0" fillId="12" borderId="1" xfId="0" applyNumberFormat="1" applyFill="1" applyBorder="1" applyAlignment="1">
      <alignment wrapText="1"/>
    </xf>
    <xf numFmtId="4" fontId="0" fillId="12" borderId="1" xfId="0" applyNumberFormat="1" applyFill="1" applyBorder="1" applyAlignment="1">
      <alignment horizontal="center" wrapText="1"/>
    </xf>
    <xf numFmtId="4" fontId="0" fillId="11" borderId="1" xfId="0" applyNumberFormat="1" applyFill="1" applyBorder="1" applyAlignment="1">
      <alignment wrapText="1"/>
    </xf>
    <xf numFmtId="4" fontId="0" fillId="11" borderId="1" xfId="0" applyNumberFormat="1" applyFill="1" applyBorder="1" applyAlignment="1">
      <alignment horizontal="center" wrapText="1"/>
    </xf>
    <xf numFmtId="4" fontId="0" fillId="14" borderId="1" xfId="0" applyNumberFormat="1" applyFill="1" applyBorder="1" applyAlignment="1">
      <alignment horizontal="center" wrapText="1"/>
    </xf>
    <xf numFmtId="14" fontId="0" fillId="0" borderId="1" xfId="0" applyNumberFormat="1" applyBorder="1" applyAlignment="1">
      <alignment wrapText="1"/>
    </xf>
    <xf numFmtId="4" fontId="0" fillId="13" borderId="1" xfId="0" applyNumberFormat="1" applyFill="1" applyBorder="1" applyAlignment="1">
      <alignment horizontal="center" wrapText="1"/>
    </xf>
    <xf numFmtId="0" fontId="0" fillId="10" borderId="1" xfId="0" applyFill="1" applyBorder="1" applyAlignment="1">
      <alignment wrapText="1"/>
    </xf>
    <xf numFmtId="0" fontId="0" fillId="0" borderId="1" xfId="0" applyBorder="1" applyAlignment="1">
      <alignment horizontal="center"/>
    </xf>
    <xf numFmtId="0" fontId="8" fillId="15" borderId="1" xfId="0" applyFont="1" applyFill="1" applyBorder="1" applyAlignment="1">
      <alignment wrapText="1"/>
    </xf>
    <xf numFmtId="4" fontId="8" fillId="15" borderId="1" xfId="0" applyNumberFormat="1" applyFont="1" applyFill="1" applyBorder="1" applyAlignment="1">
      <alignment horizontal="center" wrapText="1"/>
    </xf>
    <xf numFmtId="0" fontId="8" fillId="15" borderId="1" xfId="0" applyFont="1" applyFill="1" applyBorder="1" applyAlignment="1">
      <alignment horizontal="center" wrapText="1"/>
    </xf>
    <xf numFmtId="4" fontId="8" fillId="15" borderId="1" xfId="0" applyNumberFormat="1" applyFont="1" applyFill="1" applyBorder="1" applyAlignment="1">
      <alignment wrapText="1"/>
    </xf>
    <xf numFmtId="0" fontId="8" fillId="0" borderId="1" xfId="0" applyFont="1" applyBorder="1" applyAlignment="1">
      <alignment wrapText="1"/>
    </xf>
    <xf numFmtId="4" fontId="8" fillId="0" borderId="1" xfId="0" applyNumberFormat="1" applyFont="1" applyBorder="1" applyAlignment="1">
      <alignment horizontal="center" wrapText="1"/>
    </xf>
    <xf numFmtId="0" fontId="8" fillId="0" borderId="1" xfId="0" applyFont="1" applyBorder="1" applyAlignment="1">
      <alignment horizontal="center" wrapText="1"/>
    </xf>
    <xf numFmtId="4" fontId="8" fillId="0" borderId="1" xfId="0" applyNumberFormat="1" applyFont="1" applyBorder="1" applyAlignment="1">
      <alignment wrapText="1"/>
    </xf>
    <xf numFmtId="4" fontId="8" fillId="11" borderId="1" xfId="0" applyNumberFormat="1" applyFont="1" applyFill="1" applyBorder="1" applyAlignment="1">
      <alignment wrapText="1"/>
    </xf>
    <xf numFmtId="0" fontId="2" fillId="4" borderId="1" xfId="0" applyFont="1" applyFill="1" applyBorder="1" applyAlignment="1">
      <alignment horizontal="center" vertical="center" wrapText="1"/>
    </xf>
    <xf numFmtId="4" fontId="0" fillId="16" borderId="1" xfId="0" applyNumberFormat="1" applyFill="1" applyBorder="1" applyAlignment="1">
      <alignment horizontal="center" wrapText="1"/>
    </xf>
    <xf numFmtId="4" fontId="0" fillId="16" borderId="1" xfId="0" applyNumberFormat="1" applyFill="1" applyBorder="1" applyAlignment="1">
      <alignment wrapText="1"/>
    </xf>
    <xf numFmtId="0" fontId="0" fillId="0" borderId="2" xfId="0" applyBorder="1"/>
    <xf numFmtId="0" fontId="0" fillId="0" borderId="3" xfId="0" applyBorder="1"/>
    <xf numFmtId="0" fontId="0" fillId="16" borderId="1" xfId="0" applyFill="1" applyBorder="1"/>
    <xf numFmtId="0" fontId="10" fillId="0" borderId="0" xfId="0" applyFont="1" applyAlignment="1">
      <alignment horizontal="left" vertical="center"/>
    </xf>
    <xf numFmtId="0" fontId="11" fillId="0" borderId="0" xfId="0" applyFont="1"/>
    <xf numFmtId="0" fontId="12" fillId="17" borderId="5" xfId="0" applyFont="1" applyFill="1" applyBorder="1" applyAlignment="1">
      <alignment horizontal="center" vertical="center"/>
    </xf>
    <xf numFmtId="0" fontId="13" fillId="18" borderId="5" xfId="0" applyFont="1" applyFill="1" applyBorder="1" applyAlignment="1">
      <alignment horizontal="center" vertical="center"/>
    </xf>
    <xf numFmtId="165" fontId="13" fillId="18" borderId="5" xfId="0" applyNumberFormat="1" applyFont="1" applyFill="1" applyBorder="1" applyAlignment="1">
      <alignment horizontal="right" vertical="center"/>
    </xf>
    <xf numFmtId="0" fontId="10" fillId="0" borderId="0" xfId="0" applyFont="1"/>
    <xf numFmtId="0" fontId="13" fillId="0" borderId="5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165" fontId="13" fillId="0" borderId="5" xfId="0" applyNumberFormat="1" applyFont="1" applyBorder="1" applyAlignment="1">
      <alignment horizontal="right" vertical="center"/>
    </xf>
    <xf numFmtId="165" fontId="14" fillId="0" borderId="5" xfId="0" applyNumberFormat="1" applyFont="1" applyBorder="1" applyAlignment="1">
      <alignment horizontal="right" vertical="center"/>
    </xf>
    <xf numFmtId="166" fontId="13" fillId="0" borderId="5" xfId="0" applyNumberFormat="1" applyFont="1" applyBorder="1" applyAlignment="1">
      <alignment horizontal="right" vertical="center"/>
    </xf>
    <xf numFmtId="167" fontId="13" fillId="0" borderId="5" xfId="0" applyNumberFormat="1" applyFont="1" applyBorder="1" applyAlignment="1">
      <alignment horizontal="right" vertical="center"/>
    </xf>
    <xf numFmtId="0" fontId="12" fillId="19" borderId="5" xfId="0" applyFont="1" applyFill="1" applyBorder="1" applyAlignment="1">
      <alignment horizontal="center" vertical="center"/>
    </xf>
    <xf numFmtId="0" fontId="14" fillId="0" borderId="5" xfId="0" applyFont="1" applyBorder="1" applyAlignment="1">
      <alignment horizontal="left" vertical="center"/>
    </xf>
    <xf numFmtId="0" fontId="14" fillId="20" borderId="5" xfId="0" applyFont="1" applyFill="1" applyBorder="1" applyAlignment="1">
      <alignment horizontal="center" vertical="center"/>
    </xf>
    <xf numFmtId="0" fontId="14" fillId="20" borderId="5" xfId="0" applyFont="1" applyFill="1" applyBorder="1" applyAlignment="1">
      <alignment horizontal="left" vertical="center"/>
    </xf>
    <xf numFmtId="0" fontId="13" fillId="20" borderId="5" xfId="0" applyFont="1" applyFill="1" applyBorder="1" applyAlignment="1">
      <alignment horizontal="center" vertical="center"/>
    </xf>
    <xf numFmtId="165" fontId="14" fillId="20" borderId="5" xfId="0" applyNumberFormat="1" applyFont="1" applyFill="1" applyBorder="1" applyAlignment="1">
      <alignment horizontal="right" vertical="center"/>
    </xf>
    <xf numFmtId="166" fontId="14" fillId="0" borderId="5" xfId="0" applyNumberFormat="1" applyFont="1" applyBorder="1" applyAlignment="1">
      <alignment horizontal="right" vertical="center"/>
    </xf>
    <xf numFmtId="166" fontId="14" fillId="20" borderId="5" xfId="0" applyNumberFormat="1" applyFont="1" applyFill="1" applyBorder="1" applyAlignment="1">
      <alignment horizontal="right" vertical="center"/>
    </xf>
    <xf numFmtId="167" fontId="14" fillId="0" borderId="5" xfId="0" applyNumberFormat="1" applyFont="1" applyBorder="1" applyAlignment="1">
      <alignment horizontal="right" vertical="center"/>
    </xf>
    <xf numFmtId="167" fontId="14" fillId="20" borderId="5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0" fillId="0" borderId="0" xfId="0"/>
    <xf numFmtId="0" fontId="1" fillId="3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0" fillId="0" borderId="4" xfId="0" applyBorder="1"/>
    <xf numFmtId="0" fontId="0" fillId="0" borderId="2" xfId="0" applyBorder="1"/>
    <xf numFmtId="0" fontId="6" fillId="2" borderId="1" xfId="0" applyFont="1" applyFill="1" applyBorder="1" applyAlignment="1">
      <alignment horizontal="left" vertical="center"/>
    </xf>
    <xf numFmtId="0" fontId="2" fillId="8" borderId="0" xfId="0" applyFont="1" applyFill="1"/>
    <xf numFmtId="0" fontId="5" fillId="9" borderId="0" xfId="0" applyFont="1" applyFill="1" applyAlignment="1">
      <alignment vertical="center" wrapText="1"/>
    </xf>
    <xf numFmtId="0" fontId="2" fillId="5" borderId="0" xfId="0" applyFont="1" applyFill="1" applyAlignment="1">
      <alignment horizontal="left"/>
    </xf>
  </cellXfs>
  <cellStyles count="1">
    <cellStyle name="Normal" xfId="0" builtinId="0"/>
  </cellStyles>
  <dxfs count="36"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B91C1C"/>
      </font>
      <fill>
        <patternFill patternType="solid">
          <bgColor rgb="FFFEE2E2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B91C1C"/>
      </font>
      <fill>
        <patternFill patternType="solid">
          <bgColor rgb="FFFEE2E2"/>
        </patternFill>
      </fill>
    </dxf>
    <dxf>
      <fill>
        <patternFill>
          <bgColor theme="6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2" tint="-0.24994659260841701"/>
        </patternFill>
      </fill>
    </dxf>
    <dxf>
      <fill>
        <patternFill>
          <bgColor rgb="FFFFFF99"/>
        </patternFill>
      </fill>
    </dxf>
    <dxf>
      <font>
        <b/>
        <color rgb="FFB91C1C"/>
      </font>
      <fill>
        <patternFill patternType="solid">
          <bgColor rgb="FFFEE2E2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B91C1C"/>
      </font>
      <fill>
        <patternFill patternType="solid">
          <bgColor rgb="FFFEE2E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2" tint="-0.24994659260841701"/>
        </patternFill>
      </fill>
    </dxf>
    <dxf>
      <fill>
        <patternFill>
          <bgColor rgb="FFFFFF99"/>
        </patternFill>
      </fill>
    </dxf>
    <dxf>
      <fill>
        <patternFill>
          <bgColor theme="6" tint="0.59996337778862885"/>
        </patternFill>
      </fill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4" formatCode="#,##0.00"/>
      <alignment horizontal="center" vertical="bottom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4" formatCode="#,##0.00"/>
      <alignment horizontal="center" vertical="bottom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4" formatCode="#,##0.00"/>
      <alignment horizontal="center" vertical="bottom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v>TL Karşılığı</c:v>
          </c:tx>
          <c:spPr>
            <a:ln>
              <a:prstDash val="solid"/>
            </a:ln>
          </c:spPr>
          <c:invertIfNegative val="1"/>
          <c:cat>
            <c:strRef>
              <c:f>Dashboard!$A$11:$A$19</c:f>
              <c:strCache>
                <c:ptCount val="9"/>
                <c:pt idx="0">
                  <c:v>Uçak</c:v>
                </c:pt>
                <c:pt idx="1">
                  <c:v>Otobüs</c:v>
                </c:pt>
                <c:pt idx="2">
                  <c:v>Feribot</c:v>
                </c:pt>
                <c:pt idx="3">
                  <c:v>Tren</c:v>
                </c:pt>
                <c:pt idx="4">
                  <c:v>Konaklama</c:v>
                </c:pt>
                <c:pt idx="5">
                  <c:v>Transfer</c:v>
                </c:pt>
                <c:pt idx="6">
                  <c:v>Yeme-İçme</c:v>
                </c:pt>
                <c:pt idx="7">
                  <c:v>Aktivite</c:v>
                </c:pt>
                <c:pt idx="8">
                  <c:v>Evrak</c:v>
                </c:pt>
              </c:strCache>
            </c:strRef>
          </c:cat>
          <c:val>
            <c:numRef>
              <c:f>Dashboard!$B$11:$B$19</c:f>
              <c:numCache>
                <c:formatCode>#,##0.00</c:formatCode>
                <c:ptCount val="9"/>
                <c:pt idx="0">
                  <c:v>128552.82321849998</c:v>
                </c:pt>
                <c:pt idx="1">
                  <c:v>19067.161500000002</c:v>
                </c:pt>
                <c:pt idx="2">
                  <c:v>43825.371099999997</c:v>
                </c:pt>
                <c:pt idx="3">
                  <c:v>16048.566449999998</c:v>
                </c:pt>
                <c:pt idx="4">
                  <c:v>116571.98252749999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59-4ED4-81EE-5F1BC9D92B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6860032"/>
        <c:axId val="308224208"/>
      </c:barChart>
      <c:catAx>
        <c:axId val="166860032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308224208"/>
        <c:crosses val="autoZero"/>
        <c:auto val="1"/>
        <c:lblAlgn val="ctr"/>
        <c:lblOffset val="100"/>
        <c:noMultiLvlLbl val="0"/>
      </c:catAx>
      <c:valAx>
        <c:axId val="308224208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.00" sourceLinked="1"/>
        <c:majorTickMark val="none"/>
        <c:minorTickMark val="none"/>
        <c:tickLblPos val="nextTo"/>
        <c:crossAx val="16686003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19</xdr:row>
      <xdr:rowOff>0</xdr:rowOff>
    </xdr:from>
    <xdr:to>
      <xdr:col>12</xdr:col>
      <xdr:colOff>0</xdr:colOff>
      <xdr:row>35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stTable" displayName="CostTable" ref="A4:Q34" headerRowDxfId="35" totalsRowDxfId="34">
  <tableColumns count="17">
    <tableColumn id="1" xr3:uid="{00000000-0010-0000-0000-000001000000}" name="No" dataDxfId="33"/>
    <tableColumn id="2" xr3:uid="{00000000-0010-0000-0000-000002000000}" name="Tarih" dataDxfId="32"/>
    <tableColumn id="3" xr3:uid="{00000000-0010-0000-0000-000003000000}" name="Kategori" dataDxfId="31"/>
    <tableColumn id="4" xr3:uid="{00000000-0010-0000-0000-000004000000}" name="Kalem / Güzergah" dataDxfId="30"/>
    <tableColumn id="5" xr3:uid="{00000000-0010-0000-0000-000005000000}" name="Firma/Otel" dataDxfId="29"/>
    <tableColumn id="6" xr3:uid="{00000000-0010-0000-0000-000006000000}" name="Para Birimi" dataDxfId="28"/>
    <tableColumn id="17" xr3:uid="{00000000-0010-0000-0000-000011000000}" name="kim ödedi" dataDxfId="27"/>
    <tableColumn id="7" xr3:uid="{00000000-0010-0000-0000-000007000000}" name="Tutar" dataDxfId="26"/>
    <tableColumn id="16" xr3:uid="{00000000-0010-0000-0000-000010000000}" name="EKREM" dataDxfId="25"/>
    <tableColumn id="15" xr3:uid="{00000000-0010-0000-0000-00000F000000}" name="GÜLTEKİN" dataDxfId="24"/>
    <tableColumn id="14" xr3:uid="{00000000-0010-0000-0000-00000E000000}" name="FATİH" dataDxfId="23"/>
    <tableColumn id="8" xr3:uid="{00000000-0010-0000-0000-000008000000}" name="Kapsanan Kişi" dataDxfId="22"/>
    <tableColumn id="9" xr3:uid="{00000000-0010-0000-0000-000009000000}" name="Durum" dataDxfId="21"/>
    <tableColumn id="10" xr3:uid="{00000000-0010-0000-0000-00000A000000}" name="Risk" dataDxfId="20"/>
    <tableColumn id="11" xr3:uid="{00000000-0010-0000-0000-00000B000000}" name="Not" dataDxfId="19"/>
    <tableColumn id="12" xr3:uid="{00000000-0010-0000-0000-00000C000000}" name="TL Karşılığı" dataDxfId="18"/>
    <tableColumn id="13" xr3:uid="{00000000-0010-0000-0000-00000D000000}" name="Kişi Başı TL" dataDxfId="1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ItineraryTable" displayName="ItineraryTable" ref="A4:J13">
  <tableColumns count="10">
    <tableColumn id="1" xr3:uid="{00000000-0010-0000-0100-000001000000}" name="Tarih"/>
    <tableColumn id="2" xr3:uid="{00000000-0010-0000-0100-000002000000}" name="Şehir/Güzergah"/>
    <tableColumn id="3" xr3:uid="{00000000-0010-0000-0100-000003000000}" name="Saat"/>
    <tableColumn id="4" xr3:uid="{00000000-0010-0000-0100-000004000000}" name="Ulaşım/Konaklama"/>
    <tableColumn id="5" xr3:uid="{00000000-0010-0000-0100-000005000000}" name="Durum"/>
    <tableColumn id="6" xr3:uid="{00000000-0010-0000-0100-000006000000}" name="Kontrol Sonucu"/>
    <tableColumn id="7" xr3:uid="{00000000-0010-0000-0100-000007000000}" name="Önerilen Akış"/>
    <tableColumn id="8" xr3:uid="{00000000-0010-0000-0100-000008000000}" name="Risk"/>
    <tableColumn id="9" xr3:uid="{00000000-0010-0000-0100-000009000000}" name="Not"/>
    <tableColumn id="10" xr3:uid="{00000000-0010-0000-0100-00000A000000}" name="Yapılacak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heckTable" displayName="CheckTable" ref="A4:G14">
  <tableColumns count="7">
    <tableColumn id="1" xr3:uid="{00000000-0010-0000-0200-000001000000}" name="Öncelik"/>
    <tableColumn id="2" xr3:uid="{00000000-0010-0000-0200-000002000000}" name="Konu"/>
    <tableColumn id="3" xr3:uid="{00000000-0010-0000-0200-000003000000}" name="Bulgu"/>
    <tableColumn id="4" xr3:uid="{00000000-0010-0000-0200-000004000000}" name="Neden önemli?"/>
    <tableColumn id="5" xr3:uid="{00000000-0010-0000-0200-000005000000}" name="Yapılacak işlem"/>
    <tableColumn id="6" xr3:uid="{00000000-0010-0000-0200-000006000000}" name="Durum"/>
    <tableColumn id="7" xr3:uid="{00000000-0010-0000-0200-000007000000}" name="Sorumlu/No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RecsTable" displayName="RecsTable" ref="A4:H11">
  <tableColumns count="8">
    <tableColumn id="1" xr3:uid="{00000000-0010-0000-0300-000001000000}" name="Şehir"/>
    <tableColumn id="2" xr3:uid="{00000000-0010-0000-0300-000002000000}" name="Zaman"/>
    <tableColumn id="3" xr3:uid="{00000000-0010-0000-0300-000003000000}" name="Önerilen rota"/>
    <tableColumn id="4" xr3:uid="{00000000-0010-0000-0300-000004000000}" name="Ulaşım / transfer"/>
    <tableColumn id="5" xr3:uid="{00000000-0010-0000-0300-000005000000}" name="Kaçınılacak / dikkat"/>
    <tableColumn id="6" xr3:uid="{00000000-0010-0000-0300-000006000000}" name="Bütçe notu"/>
    <tableColumn id="7" xr3:uid="{00000000-0010-0000-0300-000007000000}" name="Öncelik"/>
    <tableColumn id="8" xr3:uid="{00000000-0010-0000-0300-000008000000}" name="Kaynak / Kontro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1"/>
  <sheetViews>
    <sheetView workbookViewId="0">
      <selection activeCell="B5" sqref="B5"/>
    </sheetView>
  </sheetViews>
  <sheetFormatPr defaultRowHeight="14"/>
  <cols>
    <col min="1" max="1" width="18" customWidth="1"/>
    <col min="2" max="2" width="14" customWidth="1"/>
    <col min="3" max="3" width="10" customWidth="1"/>
    <col min="4" max="4" width="46" customWidth="1"/>
    <col min="5" max="5" width="18" customWidth="1"/>
  </cols>
  <sheetData>
    <row r="1" spans="1:26" ht="22.75" customHeight="1">
      <c r="A1" s="67" t="s">
        <v>53</v>
      </c>
      <c r="B1" s="65"/>
      <c r="C1" s="65"/>
      <c r="D1" s="65"/>
      <c r="E1" s="65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16" customHeight="1">
      <c r="A2" s="66" t="s">
        <v>54</v>
      </c>
      <c r="B2" s="65"/>
      <c r="C2" s="65"/>
      <c r="D2" s="65"/>
      <c r="E2" s="65"/>
    </row>
    <row r="4" spans="1:26" ht="15" customHeight="1">
      <c r="A4" s="1" t="s">
        <v>55</v>
      </c>
      <c r="B4" s="1" t="s">
        <v>56</v>
      </c>
      <c r="C4" s="1" t="s">
        <v>57</v>
      </c>
      <c r="D4" s="1" t="s">
        <v>58</v>
      </c>
      <c r="E4" s="1" t="s">
        <v>59</v>
      </c>
    </row>
    <row r="5" spans="1:26">
      <c r="A5" s="2" t="s">
        <v>60</v>
      </c>
      <c r="B5" s="3">
        <v>53.05735</v>
      </c>
      <c r="C5" s="2" t="s">
        <v>16</v>
      </c>
      <c r="D5" s="2" t="s">
        <v>61</v>
      </c>
      <c r="E5" s="2" t="s">
        <v>62</v>
      </c>
    </row>
    <row r="6" spans="1:26">
      <c r="A6" s="2" t="s">
        <v>63</v>
      </c>
      <c r="B6" s="3">
        <v>4.8324499999999997</v>
      </c>
      <c r="C6" s="2" t="s">
        <v>16</v>
      </c>
      <c r="D6" s="2" t="s">
        <v>64</v>
      </c>
      <c r="E6" s="2" t="s">
        <v>62</v>
      </c>
    </row>
    <row r="7" spans="1:26">
      <c r="A7" s="2" t="s">
        <v>65</v>
      </c>
      <c r="B7" s="3">
        <v>4.7686999999999999</v>
      </c>
      <c r="C7" s="2" t="s">
        <v>16</v>
      </c>
      <c r="D7" s="2" t="s">
        <v>66</v>
      </c>
      <c r="E7" s="2" t="s">
        <v>62</v>
      </c>
    </row>
    <row r="8" spans="1:26">
      <c r="A8" s="2" t="s">
        <v>67</v>
      </c>
      <c r="B8" s="4">
        <v>0.1</v>
      </c>
      <c r="C8" s="2" t="s">
        <v>68</v>
      </c>
      <c r="D8" s="2" t="s">
        <v>69</v>
      </c>
      <c r="E8" s="2" t="s">
        <v>62</v>
      </c>
    </row>
    <row r="9" spans="1:26">
      <c r="A9" s="2" t="s">
        <v>70</v>
      </c>
      <c r="B9" s="2">
        <v>9</v>
      </c>
      <c r="C9" s="2" t="s">
        <v>71</v>
      </c>
      <c r="D9" s="2" t="s">
        <v>72</v>
      </c>
      <c r="E9" s="2" t="s">
        <v>62</v>
      </c>
    </row>
    <row r="10" spans="1:26">
      <c r="A10" s="2" t="s">
        <v>73</v>
      </c>
      <c r="B10" s="2">
        <v>10</v>
      </c>
      <c r="C10" s="2" t="s">
        <v>74</v>
      </c>
      <c r="D10" s="2" t="s">
        <v>75</v>
      </c>
      <c r="E10" s="2" t="s">
        <v>62</v>
      </c>
    </row>
    <row r="11" spans="1:26" ht="28.5" customHeight="1">
      <c r="A11" s="2" t="s">
        <v>76</v>
      </c>
      <c r="B11" s="2">
        <v>60</v>
      </c>
      <c r="C11" s="2" t="s">
        <v>77</v>
      </c>
      <c r="D11" s="2" t="s">
        <v>78</v>
      </c>
      <c r="E11" s="2" t="s">
        <v>62</v>
      </c>
    </row>
  </sheetData>
  <mergeCells count="2">
    <mergeCell ref="A2:E2"/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D34"/>
  <sheetViews>
    <sheetView view="pageBreakPreview" zoomScale="60" zoomScaleNormal="100" workbookViewId="0">
      <selection activeCell="K27" sqref="K27"/>
    </sheetView>
  </sheetViews>
  <sheetFormatPr defaultRowHeight="14"/>
  <cols>
    <col min="1" max="1" width="5" customWidth="1"/>
    <col min="2" max="2" width="12" customWidth="1"/>
    <col min="3" max="3" width="14" customWidth="1"/>
    <col min="4" max="4" width="28" customWidth="1"/>
    <col min="5" max="5" width="24" customWidth="1"/>
    <col min="6" max="7" width="11" customWidth="1"/>
    <col min="8" max="11" width="14" customWidth="1"/>
    <col min="12" max="12" width="7.33203125" style="11" customWidth="1"/>
    <col min="13" max="14" width="12" customWidth="1"/>
    <col min="15" max="15" width="30.75" customWidth="1"/>
    <col min="16" max="17" width="16" customWidth="1"/>
  </cols>
  <sheetData>
    <row r="1" spans="1:30" ht="22.75" customHeight="1">
      <c r="A1" s="71" t="s">
        <v>79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70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</row>
    <row r="2" spans="1:30" ht="16" customHeight="1">
      <c r="A2" s="68" t="s">
        <v>80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70"/>
    </row>
    <row r="3" spans="1:30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26"/>
      <c r="M3" s="17"/>
      <c r="N3" s="17"/>
      <c r="O3" s="17"/>
      <c r="P3" s="17"/>
      <c r="Q3" s="17"/>
    </row>
    <row r="4" spans="1:30" ht="45" customHeight="1">
      <c r="A4" s="36" t="s">
        <v>26</v>
      </c>
      <c r="B4" s="36" t="s">
        <v>81</v>
      </c>
      <c r="C4" s="36" t="s">
        <v>27</v>
      </c>
      <c r="D4" s="36" t="s">
        <v>82</v>
      </c>
      <c r="E4" s="36" t="s">
        <v>83</v>
      </c>
      <c r="F4" s="36" t="s">
        <v>13</v>
      </c>
      <c r="G4" s="36" t="s">
        <v>84</v>
      </c>
      <c r="H4" s="36" t="s">
        <v>85</v>
      </c>
      <c r="I4" s="36" t="s">
        <v>7</v>
      </c>
      <c r="J4" s="36" t="s">
        <v>10</v>
      </c>
      <c r="K4" s="36" t="s">
        <v>9</v>
      </c>
      <c r="L4" s="36" t="s">
        <v>86</v>
      </c>
      <c r="M4" s="36" t="s">
        <v>87</v>
      </c>
      <c r="N4" s="36" t="s">
        <v>88</v>
      </c>
      <c r="O4" s="36" t="s">
        <v>89</v>
      </c>
      <c r="P4" s="36" t="s">
        <v>15</v>
      </c>
      <c r="Q4" s="36" t="s">
        <v>90</v>
      </c>
    </row>
    <row r="5" spans="1:30" ht="32.25" customHeight="1">
      <c r="A5" s="12">
        <v>1</v>
      </c>
      <c r="B5" s="12" t="s">
        <v>91</v>
      </c>
      <c r="C5" s="12" t="s">
        <v>32</v>
      </c>
      <c r="D5" s="13" t="s">
        <v>33</v>
      </c>
      <c r="E5" s="12" t="s">
        <v>92</v>
      </c>
      <c r="F5" s="12" t="s">
        <v>16</v>
      </c>
      <c r="G5" s="12" t="s">
        <v>9</v>
      </c>
      <c r="H5" s="13">
        <v>39213.9</v>
      </c>
      <c r="I5" s="14">
        <f>6535.65*2</f>
        <v>13071.3</v>
      </c>
      <c r="J5" s="14">
        <f>6535.65*2</f>
        <v>13071.3</v>
      </c>
      <c r="K5" s="14">
        <f>6535.65*2</f>
        <v>13071.3</v>
      </c>
      <c r="L5" s="15">
        <v>6</v>
      </c>
      <c r="M5" s="12" t="s">
        <v>93</v>
      </c>
      <c r="N5" s="12" t="s">
        <v>94</v>
      </c>
      <c r="O5" s="12" t="s">
        <v>95</v>
      </c>
      <c r="P5" s="16">
        <f>IF(F5="TL",H5,IF(F5="EUR",H5*Inputs!$B$5,IF(F5="SEK",H5*Inputs!$B$6,IF(F5="NOK",H5*Inputs!$B$7,0))))</f>
        <v>39213.9</v>
      </c>
      <c r="Q5" s="16">
        <f t="shared" ref="Q5:Q15" si="0">IF(L5&gt;0,P5/L5,"")</f>
        <v>6535.6500000000005</v>
      </c>
    </row>
    <row r="6" spans="1:30" ht="32.25" customHeight="1">
      <c r="A6" s="12">
        <v>2</v>
      </c>
      <c r="B6" s="12" t="s">
        <v>91</v>
      </c>
      <c r="C6" s="12" t="s">
        <v>32</v>
      </c>
      <c r="D6" s="13" t="s">
        <v>34</v>
      </c>
      <c r="E6" s="12" t="s">
        <v>92</v>
      </c>
      <c r="F6" s="12" t="s">
        <v>16</v>
      </c>
      <c r="G6" s="12" t="s">
        <v>9</v>
      </c>
      <c r="H6" s="13">
        <v>18143.16</v>
      </c>
      <c r="I6" s="14">
        <v>6047.72</v>
      </c>
      <c r="J6" s="14">
        <f>6047.72*2</f>
        <v>12095.44</v>
      </c>
      <c r="K6" s="14" t="s">
        <v>96</v>
      </c>
      <c r="L6" s="15">
        <v>3</v>
      </c>
      <c r="M6" s="12" t="s">
        <v>93</v>
      </c>
      <c r="N6" s="12" t="s">
        <v>97</v>
      </c>
      <c r="O6" s="12" t="s">
        <v>98</v>
      </c>
      <c r="P6" s="16">
        <f>IF(F6="TL",H6,IF(F6="EUR",H6*Inputs!$B$5,IF(F6="SEK",H6*Inputs!$B$6,IF(F6="NOK",H6*Inputs!$B$7,0))))</f>
        <v>18143.16</v>
      </c>
      <c r="Q6" s="16">
        <f t="shared" si="0"/>
        <v>6047.72</v>
      </c>
    </row>
    <row r="7" spans="1:30" ht="32.25" customHeight="1">
      <c r="A7" s="12">
        <v>3</v>
      </c>
      <c r="B7" s="12" t="s">
        <v>99</v>
      </c>
      <c r="C7" s="12" t="s">
        <v>32</v>
      </c>
      <c r="D7" s="12" t="s">
        <v>35</v>
      </c>
      <c r="E7" s="12" t="s">
        <v>100</v>
      </c>
      <c r="F7" s="12" t="s">
        <v>17</v>
      </c>
      <c r="G7" s="12" t="s">
        <v>10</v>
      </c>
      <c r="H7" s="18">
        <v>350.71</v>
      </c>
      <c r="I7" s="14">
        <f>14.99+51.79*2</f>
        <v>118.57</v>
      </c>
      <c r="J7" s="14">
        <f>46.79+29.98+51.79</f>
        <v>128.56</v>
      </c>
      <c r="K7" s="14">
        <f>103.58</f>
        <v>103.58</v>
      </c>
      <c r="L7" s="15">
        <v>9</v>
      </c>
      <c r="M7" s="12" t="s">
        <v>93</v>
      </c>
      <c r="N7" s="12" t="s">
        <v>97</v>
      </c>
      <c r="O7" s="12" t="s">
        <v>101</v>
      </c>
      <c r="P7" s="16">
        <f>IF(F7="TL",H7,IF(F7="EUR",H7*Inputs!$B$5,IF(F7="SEK",H7*Inputs!$B$6,IF(F7="NOK",H7*Inputs!$B$7,0))))</f>
        <v>18607.7432185</v>
      </c>
      <c r="Q7" s="16">
        <f t="shared" si="0"/>
        <v>2067.5270242777779</v>
      </c>
    </row>
    <row r="8" spans="1:30" ht="32.25" customHeight="1">
      <c r="A8" s="12">
        <v>4</v>
      </c>
      <c r="B8" s="12" t="s">
        <v>99</v>
      </c>
      <c r="C8" s="12" t="s">
        <v>36</v>
      </c>
      <c r="D8" s="12" t="s">
        <v>37</v>
      </c>
      <c r="E8" s="12" t="s">
        <v>102</v>
      </c>
      <c r="F8" s="12" t="s">
        <v>17</v>
      </c>
      <c r="G8" s="12" t="s">
        <v>7</v>
      </c>
      <c r="H8" s="20">
        <v>90</v>
      </c>
      <c r="I8" s="14">
        <v>30</v>
      </c>
      <c r="J8" s="14">
        <v>40</v>
      </c>
      <c r="K8" s="14">
        <v>20</v>
      </c>
      <c r="L8" s="15">
        <v>9</v>
      </c>
      <c r="M8" s="12" t="s">
        <v>93</v>
      </c>
      <c r="N8" s="12" t="s">
        <v>94</v>
      </c>
      <c r="O8" s="12" t="s">
        <v>103</v>
      </c>
      <c r="P8" s="16">
        <f>IF(F8="TL",H8,IF(F8="EUR",H8*Inputs!$B$5,IF(F8="SEK",H8*Inputs!$B$6,IF(F8="NOK",H8*Inputs!$B$7,0))))</f>
        <v>4775.1615000000002</v>
      </c>
      <c r="Q8" s="16">
        <f t="shared" si="0"/>
        <v>530.57349999999997</v>
      </c>
    </row>
    <row r="9" spans="1:30" ht="32.25" customHeight="1">
      <c r="A9" s="12">
        <v>5</v>
      </c>
      <c r="B9" s="12" t="s">
        <v>104</v>
      </c>
      <c r="C9" s="12" t="s">
        <v>36</v>
      </c>
      <c r="D9" s="12" t="s">
        <v>38</v>
      </c>
      <c r="E9" s="12" t="s">
        <v>105</v>
      </c>
      <c r="F9" s="12" t="s">
        <v>16</v>
      </c>
      <c r="G9" s="12" t="s">
        <v>7</v>
      </c>
      <c r="H9" s="20">
        <v>7731</v>
      </c>
      <c r="I9" s="14">
        <f>859*3</f>
        <v>2577</v>
      </c>
      <c r="J9" s="14">
        <f>859*4</f>
        <v>3436</v>
      </c>
      <c r="K9" s="14">
        <f>859*2</f>
        <v>1718</v>
      </c>
      <c r="L9" s="15">
        <v>9</v>
      </c>
      <c r="M9" s="12" t="s">
        <v>93</v>
      </c>
      <c r="N9" s="12" t="s">
        <v>94</v>
      </c>
      <c r="O9" s="12" t="s">
        <v>106</v>
      </c>
      <c r="P9" s="16">
        <f>IF(F9="TL",H9,IF(F9="EUR",H9*Inputs!$B$5,IF(F9="SEK",H9*Inputs!$B$6,IF(F9="NOK",H9*Inputs!$B$7,0))))</f>
        <v>7731</v>
      </c>
      <c r="Q9" s="16">
        <f t="shared" si="0"/>
        <v>859</v>
      </c>
    </row>
    <row r="10" spans="1:30" ht="32.25" customHeight="1">
      <c r="A10" s="12">
        <v>6</v>
      </c>
      <c r="B10" s="12" t="s">
        <v>107</v>
      </c>
      <c r="C10" s="12" t="s">
        <v>36</v>
      </c>
      <c r="D10" s="12" t="s">
        <v>39</v>
      </c>
      <c r="E10" s="12" t="s">
        <v>108</v>
      </c>
      <c r="F10" s="12" t="s">
        <v>16</v>
      </c>
      <c r="G10" s="12" t="s">
        <v>7</v>
      </c>
      <c r="H10" s="20">
        <v>6561</v>
      </c>
      <c r="I10" s="14">
        <f>729*3</f>
        <v>2187</v>
      </c>
      <c r="J10" s="14">
        <f>729*2</f>
        <v>1458</v>
      </c>
      <c r="K10" s="14">
        <f>729*4</f>
        <v>2916</v>
      </c>
      <c r="L10" s="15">
        <v>9</v>
      </c>
      <c r="M10" s="12" t="s">
        <v>93</v>
      </c>
      <c r="N10" s="12" t="s">
        <v>94</v>
      </c>
      <c r="O10" s="12" t="s">
        <v>109</v>
      </c>
      <c r="P10" s="16">
        <f>IF(F10="TL",H10,IF(F10="EUR",H10*Inputs!$B$5,IF(F10="SEK",H10*Inputs!$B$6,IF(F10="NOK",H10*Inputs!$B$7,0))))</f>
        <v>6561</v>
      </c>
      <c r="Q10" s="16">
        <f t="shared" si="0"/>
        <v>729</v>
      </c>
    </row>
    <row r="11" spans="1:30" ht="32.25" customHeight="1">
      <c r="A11" s="12">
        <v>7</v>
      </c>
      <c r="B11" s="12" t="s">
        <v>110</v>
      </c>
      <c r="C11" s="12" t="s">
        <v>40</v>
      </c>
      <c r="D11" s="12" t="s">
        <v>41</v>
      </c>
      <c r="E11" s="12" t="s">
        <v>111</v>
      </c>
      <c r="F11" s="12" t="s">
        <v>17</v>
      </c>
      <c r="G11" s="12" t="s">
        <v>7</v>
      </c>
      <c r="H11" s="38">
        <v>267</v>
      </c>
      <c r="I11" s="14">
        <v>99</v>
      </c>
      <c r="J11" s="14">
        <v>102</v>
      </c>
      <c r="K11" s="14">
        <v>66</v>
      </c>
      <c r="L11" s="15">
        <v>9</v>
      </c>
      <c r="M11" s="12" t="s">
        <v>93</v>
      </c>
      <c r="N11" s="12" t="s">
        <v>94</v>
      </c>
      <c r="O11" s="12" t="s">
        <v>112</v>
      </c>
      <c r="P11" s="16">
        <f>IF(F11="TL",H11,IF(F11="EUR",H11*Inputs!$B$5,IF(F11="SEK",H11*Inputs!$B$6,IF(F11="NOK",H11*Inputs!$B$7,0))))</f>
        <v>14166.312449999999</v>
      </c>
      <c r="Q11" s="16">
        <f t="shared" si="0"/>
        <v>1574.0347166666666</v>
      </c>
    </row>
    <row r="12" spans="1:30" ht="32.25" customHeight="1">
      <c r="A12" s="12">
        <v>8</v>
      </c>
      <c r="B12" s="12" t="s">
        <v>113</v>
      </c>
      <c r="C12" s="12" t="s">
        <v>40</v>
      </c>
      <c r="D12" s="12" t="s">
        <v>114</v>
      </c>
      <c r="E12" s="12" t="s">
        <v>115</v>
      </c>
      <c r="F12" s="12" t="s">
        <v>17</v>
      </c>
      <c r="G12" s="12" t="s">
        <v>116</v>
      </c>
      <c r="H12" s="14">
        <v>559</v>
      </c>
      <c r="I12" s="21">
        <v>256</v>
      </c>
      <c r="J12" s="19">
        <v>176</v>
      </c>
      <c r="K12" s="22">
        <v>127</v>
      </c>
      <c r="L12" s="15">
        <v>9</v>
      </c>
      <c r="M12" s="12" t="s">
        <v>93</v>
      </c>
      <c r="N12" s="12" t="s">
        <v>94</v>
      </c>
      <c r="O12" s="12" t="s">
        <v>117</v>
      </c>
      <c r="P12" s="16">
        <f>IF(F12="TL",H12,IF(F12="EUR",H12*Inputs!$B$5,IF(F12="SEK",H12*Inputs!$B$6,IF(F12="NOK",H12*Inputs!$B$7,0))))</f>
        <v>29659.058649999999</v>
      </c>
      <c r="Q12" s="16">
        <f t="shared" si="0"/>
        <v>3295.4509611111112</v>
      </c>
    </row>
    <row r="13" spans="1:30" ht="32.25" customHeight="1">
      <c r="A13" s="12">
        <v>9</v>
      </c>
      <c r="B13" s="12" t="s">
        <v>118</v>
      </c>
      <c r="C13" s="12" t="s">
        <v>42</v>
      </c>
      <c r="D13" s="12" t="s">
        <v>43</v>
      </c>
      <c r="E13" s="12" t="s">
        <v>119</v>
      </c>
      <c r="F13" s="12" t="s">
        <v>18</v>
      </c>
      <c r="G13" s="12" t="s">
        <v>7</v>
      </c>
      <c r="H13" s="20">
        <f>2275+1046</f>
        <v>3321</v>
      </c>
      <c r="I13" s="16">
        <f>455*3</f>
        <v>1365</v>
      </c>
      <c r="J13" s="14">
        <v>1046</v>
      </c>
      <c r="K13" s="14">
        <f>455*2</f>
        <v>910</v>
      </c>
      <c r="L13" s="15">
        <v>5</v>
      </c>
      <c r="M13" s="12" t="s">
        <v>93</v>
      </c>
      <c r="N13" s="12" t="s">
        <v>97</v>
      </c>
      <c r="O13" s="12" t="s">
        <v>120</v>
      </c>
      <c r="P13" s="16">
        <f>IF(F13="TL",H13,IF(F13="EUR",H13*Inputs!$B$5,IF(F13="SEK",H13*Inputs!$B$6,IF(F13="NOK",H13*Inputs!$B$7,0))))</f>
        <v>16048.566449999998</v>
      </c>
      <c r="Q13" s="16">
        <f t="shared" si="0"/>
        <v>3209.7132899999997</v>
      </c>
    </row>
    <row r="14" spans="1:30" ht="32.25" customHeight="1">
      <c r="A14" s="12">
        <v>10</v>
      </c>
      <c r="B14" s="12" t="s">
        <v>99</v>
      </c>
      <c r="C14" s="12" t="s">
        <v>44</v>
      </c>
      <c r="D14" s="12" t="s">
        <v>45</v>
      </c>
      <c r="E14" s="12" t="s">
        <v>121</v>
      </c>
      <c r="F14" s="12" t="s">
        <v>17</v>
      </c>
      <c r="G14" s="12" t="s">
        <v>10</v>
      </c>
      <c r="H14" s="19">
        <v>307.68</v>
      </c>
      <c r="I14" s="14">
        <f>106</f>
        <v>106</v>
      </c>
      <c r="J14" s="14">
        <f>CostTable[[#This Row],[Tutar]]-182.68</f>
        <v>125</v>
      </c>
      <c r="K14" s="14">
        <v>76.680000000000007</v>
      </c>
      <c r="L14" s="15">
        <v>9</v>
      </c>
      <c r="M14" s="12" t="s">
        <v>93</v>
      </c>
      <c r="N14" s="12" t="s">
        <v>94</v>
      </c>
      <c r="O14" s="12" t="s">
        <v>122</v>
      </c>
      <c r="P14" s="16">
        <f>IF(F14="TL",H14,IF(F14="EUR",H14*Inputs!$B$5,IF(F14="SEK",H14*Inputs!$B$6,IF(F14="NOK",H14*Inputs!$B$7,0))))</f>
        <v>16324.685448</v>
      </c>
      <c r="Q14" s="16">
        <f t="shared" si="0"/>
        <v>1813.8539386666666</v>
      </c>
    </row>
    <row r="15" spans="1:30" ht="32.25" customHeight="1">
      <c r="A15" s="12">
        <v>19</v>
      </c>
      <c r="B15" s="12" t="s">
        <v>104</v>
      </c>
      <c r="C15" s="12" t="s">
        <v>44</v>
      </c>
      <c r="D15" s="12" t="s">
        <v>46</v>
      </c>
      <c r="E15" s="12" t="s">
        <v>123</v>
      </c>
      <c r="F15" s="12" t="s">
        <v>17</v>
      </c>
      <c r="G15" s="12" t="s">
        <v>10</v>
      </c>
      <c r="H15" s="19">
        <v>183.15</v>
      </c>
      <c r="I15" s="14" t="s">
        <v>96</v>
      </c>
      <c r="J15" s="19">
        <f>CostTable[[#This Row],[Tutar]]-CostTable[[#This Row],[FATİH]]</f>
        <v>93.15</v>
      </c>
      <c r="K15" s="14">
        <v>90</v>
      </c>
      <c r="L15" s="15">
        <v>5</v>
      </c>
      <c r="M15" s="12" t="s">
        <v>93</v>
      </c>
      <c r="N15" s="12" t="s">
        <v>94</v>
      </c>
      <c r="O15" s="12" t="s">
        <v>124</v>
      </c>
      <c r="P15" s="16">
        <f>IF(F15="TL",H15,IF(F15="EUR",H15*Inputs!$B$5,IF(F15="SEK",H15*Inputs!$B$6,IF(F15="NOK",H15*Inputs!$B$7,0))))</f>
        <v>9717.4536525000003</v>
      </c>
      <c r="Q15" s="16">
        <f t="shared" si="0"/>
        <v>1943.4907305000002</v>
      </c>
    </row>
    <row r="16" spans="1:30" ht="32.25" customHeight="1">
      <c r="A16" s="12">
        <v>20</v>
      </c>
      <c r="B16" s="12" t="s">
        <v>104</v>
      </c>
      <c r="C16" s="12" t="s">
        <v>44</v>
      </c>
      <c r="D16" s="12" t="s">
        <v>125</v>
      </c>
      <c r="E16" s="12" t="s">
        <v>126</v>
      </c>
      <c r="F16" s="12" t="s">
        <v>17</v>
      </c>
      <c r="G16" s="12" t="s">
        <v>7</v>
      </c>
      <c r="H16" s="20">
        <v>100.92</v>
      </c>
      <c r="I16" s="20">
        <f>CostTable[[#This Row],[Tutar]]</f>
        <v>100.92</v>
      </c>
      <c r="J16" s="14" t="s">
        <v>96</v>
      </c>
      <c r="K16" s="14" t="s">
        <v>96</v>
      </c>
      <c r="L16" s="15">
        <v>3</v>
      </c>
      <c r="M16" s="12" t="s">
        <v>93</v>
      </c>
      <c r="N16" s="12" t="s">
        <v>94</v>
      </c>
      <c r="O16" s="12" t="s">
        <v>127</v>
      </c>
      <c r="P16" s="16">
        <f>IF(F16="TL",H16,IF(F16="EUR",H16*Inputs!$B$5,IF(F16="SEK",H16*Inputs!$B$6,IF(F16="NOK",H16*Inputs!$B$7,0))))</f>
        <v>5354.5477620000001</v>
      </c>
      <c r="Q16" s="16"/>
    </row>
    <row r="17" spans="1:17" ht="32.25" customHeight="1">
      <c r="A17" s="12">
        <v>11</v>
      </c>
      <c r="B17" s="23">
        <v>46228</v>
      </c>
      <c r="C17" s="12" t="s">
        <v>44</v>
      </c>
      <c r="D17" s="12" t="s">
        <v>128</v>
      </c>
      <c r="E17" s="12" t="s">
        <v>129</v>
      </c>
      <c r="F17" s="12" t="s">
        <v>17</v>
      </c>
      <c r="G17" s="12" t="s">
        <v>10</v>
      </c>
      <c r="H17" s="19">
        <v>103.6</v>
      </c>
      <c r="I17" s="14" t="s">
        <v>96</v>
      </c>
      <c r="J17" s="19">
        <f>CostTable[[#This Row],[Tutar]]</f>
        <v>103.6</v>
      </c>
      <c r="K17" s="14" t="s">
        <v>96</v>
      </c>
      <c r="L17" s="15">
        <v>4</v>
      </c>
      <c r="M17" s="12" t="s">
        <v>93</v>
      </c>
      <c r="N17" s="12" t="s">
        <v>94</v>
      </c>
      <c r="O17" s="12" t="s">
        <v>130</v>
      </c>
      <c r="P17" s="16">
        <f>IF(F17="TL",H17,IF(F17="EUR",H17*Inputs!$B$5,IF(F17="SEK",H17*Inputs!$B$6,IF(F17="NOK",H17*Inputs!$B$7,0))))</f>
        <v>5496.7414599999993</v>
      </c>
      <c r="Q17" s="16">
        <f>IF(L17&gt;0,P17/L17,"")</f>
        <v>1374.1853649999998</v>
      </c>
    </row>
    <row r="18" spans="1:17" ht="32.25" customHeight="1">
      <c r="A18" s="12">
        <v>12</v>
      </c>
      <c r="B18" s="12" t="s">
        <v>107</v>
      </c>
      <c r="C18" s="12" t="s">
        <v>44</v>
      </c>
      <c r="D18" s="12" t="s">
        <v>47</v>
      </c>
      <c r="E18" s="12" t="s">
        <v>131</v>
      </c>
      <c r="F18" s="12" t="s">
        <v>17</v>
      </c>
      <c r="G18" s="12" t="s">
        <v>7</v>
      </c>
      <c r="H18" s="38">
        <v>183.31</v>
      </c>
      <c r="I18" s="21">
        <v>87.91</v>
      </c>
      <c r="J18" s="14" t="s">
        <v>96</v>
      </c>
      <c r="K18" s="14">
        <v>95.4</v>
      </c>
      <c r="L18" s="15">
        <v>5</v>
      </c>
      <c r="M18" s="12" t="s">
        <v>93</v>
      </c>
      <c r="N18" s="12" t="s">
        <v>94</v>
      </c>
      <c r="O18" s="12" t="s">
        <v>132</v>
      </c>
      <c r="P18" s="16">
        <f>IF(F18="TL",H18,IF(F18="EUR",H18*Inputs!$B$5,IF(F18="SEK",H18*Inputs!$B$6,IF(F18="NOK",H18*Inputs!$B$7,0))))</f>
        <v>9725.9428284999995</v>
      </c>
      <c r="Q18" s="16">
        <f>IF(L18&gt;0,P18/L18,"")</f>
        <v>1945.1885656999998</v>
      </c>
    </row>
    <row r="19" spans="1:17" ht="32.25" customHeight="1">
      <c r="A19" s="12">
        <v>13</v>
      </c>
      <c r="B19" s="12" t="s">
        <v>110</v>
      </c>
      <c r="C19" s="12" t="s">
        <v>44</v>
      </c>
      <c r="D19" s="12" t="s">
        <v>48</v>
      </c>
      <c r="E19" s="12" t="s">
        <v>133</v>
      </c>
      <c r="F19" s="12" t="s">
        <v>17</v>
      </c>
      <c r="G19" s="12" t="s">
        <v>7</v>
      </c>
      <c r="H19" s="20">
        <f>127.8+99.9+120.6</f>
        <v>348.29999999999995</v>
      </c>
      <c r="I19" s="14">
        <v>120.6</v>
      </c>
      <c r="J19" s="14">
        <v>127.8</v>
      </c>
      <c r="K19" s="14">
        <v>99.9</v>
      </c>
      <c r="L19" s="15">
        <v>9</v>
      </c>
      <c r="M19" s="12" t="s">
        <v>93</v>
      </c>
      <c r="N19" s="12" t="s">
        <v>94</v>
      </c>
      <c r="O19" s="12" t="s">
        <v>134</v>
      </c>
      <c r="P19" s="16">
        <f>IF(F19="TL",H19,IF(F19="EUR",H19*Inputs!$B$5,IF(F19="SEK",H19*Inputs!$B$6,IF(F19="NOK",H19*Inputs!$B$7,0))))</f>
        <v>18479.875004999998</v>
      </c>
      <c r="Q19" s="16">
        <f>IF(L19&gt;0,P19/L19,"")</f>
        <v>2053.3194449999996</v>
      </c>
    </row>
    <row r="20" spans="1:17" ht="32.25" customHeight="1">
      <c r="A20" s="12">
        <v>14</v>
      </c>
      <c r="B20" s="12" t="s">
        <v>135</v>
      </c>
      <c r="C20" s="12" t="s">
        <v>44</v>
      </c>
      <c r="D20" s="12" t="s">
        <v>136</v>
      </c>
      <c r="E20" s="12" t="s">
        <v>137</v>
      </c>
      <c r="F20" s="12" t="s">
        <v>17</v>
      </c>
      <c r="G20" s="12" t="s">
        <v>7</v>
      </c>
      <c r="H20" s="20">
        <v>137</v>
      </c>
      <c r="I20" s="20">
        <v>137</v>
      </c>
      <c r="J20" s="14" t="s">
        <v>96</v>
      </c>
      <c r="K20" s="14" t="s">
        <v>96</v>
      </c>
      <c r="L20" s="15">
        <v>3</v>
      </c>
      <c r="M20" s="12" t="s">
        <v>93</v>
      </c>
      <c r="N20" s="12" t="s">
        <v>94</v>
      </c>
      <c r="O20" s="12" t="s">
        <v>138</v>
      </c>
      <c r="P20" s="16">
        <f>IF(F20="TL",H20,IF(F20="EUR",H20*Inputs!$B$5,IF(F20="SEK",H20*Inputs!$B$6,IF(F20="NOK",H20*Inputs!$B$7,0))))</f>
        <v>7268.8569500000003</v>
      </c>
      <c r="Q20" s="16">
        <f>IF(L20&gt;0,P20/L20,"")</f>
        <v>2422.9523166666668</v>
      </c>
    </row>
    <row r="21" spans="1:17" ht="32.25" customHeight="1">
      <c r="A21" s="12">
        <v>15</v>
      </c>
      <c r="B21" s="12" t="s">
        <v>135</v>
      </c>
      <c r="C21" s="12" t="s">
        <v>44</v>
      </c>
      <c r="D21" s="12" t="s">
        <v>139</v>
      </c>
      <c r="E21" s="12" t="s">
        <v>140</v>
      </c>
      <c r="F21" s="12" t="s">
        <v>18</v>
      </c>
      <c r="G21" s="12" t="s">
        <v>9</v>
      </c>
      <c r="H21" s="13">
        <v>1129.95</v>
      </c>
      <c r="I21" s="14" t="s">
        <v>96</v>
      </c>
      <c r="J21" s="14" t="s">
        <v>96</v>
      </c>
      <c r="K21" s="24">
        <f>CostTable[[#This Row],[Tutar]]</f>
        <v>1129.95</v>
      </c>
      <c r="L21" s="15">
        <v>2</v>
      </c>
      <c r="M21" s="12" t="s">
        <v>93</v>
      </c>
      <c r="N21" s="12" t="s">
        <v>94</v>
      </c>
      <c r="O21" s="12" t="s">
        <v>141</v>
      </c>
      <c r="P21" s="16">
        <f>IF(F21="TL",H21,IF(F21="EUR",H21*Inputs!$B$5,IF(F21="SEK",H21*Inputs!$B$6,IF(F21="NOK",H21*Inputs!$B$7,0))))</f>
        <v>5460.4268775</v>
      </c>
      <c r="Q21" s="16"/>
    </row>
    <row r="22" spans="1:17" ht="32.25" customHeight="1">
      <c r="A22" s="12">
        <v>15</v>
      </c>
      <c r="B22" s="12" t="s">
        <v>135</v>
      </c>
      <c r="C22" s="12" t="s">
        <v>44</v>
      </c>
      <c r="D22" s="12" t="s">
        <v>139</v>
      </c>
      <c r="E22" s="12" t="s">
        <v>140</v>
      </c>
      <c r="F22" s="12" t="s">
        <v>16</v>
      </c>
      <c r="G22" s="12" t="s">
        <v>10</v>
      </c>
      <c r="H22" s="18">
        <v>8652.0300000000007</v>
      </c>
      <c r="I22" s="14" t="s">
        <v>96</v>
      </c>
      <c r="J22" s="19">
        <v>8652.0300000000007</v>
      </c>
      <c r="K22" s="14" t="s">
        <v>96</v>
      </c>
      <c r="L22" s="15">
        <v>4</v>
      </c>
      <c r="M22" s="12" t="s">
        <v>93</v>
      </c>
      <c r="N22" s="12" t="s">
        <v>94</v>
      </c>
      <c r="O22" s="12" t="s">
        <v>142</v>
      </c>
      <c r="P22" s="16">
        <f>IF(F22="TL",H22,IF(F22="EUR",H22*Inputs!$B$5,IF(F22="SEK",H22*Inputs!$B$6,IF(F22="NOK",H22*Inputs!$B$7,0))))</f>
        <v>8652.0300000000007</v>
      </c>
      <c r="Q22" s="16"/>
    </row>
    <row r="23" spans="1:17" ht="32.25" customHeight="1">
      <c r="A23" s="12">
        <v>15</v>
      </c>
      <c r="B23" s="12" t="s">
        <v>118</v>
      </c>
      <c r="C23" s="12" t="s">
        <v>44</v>
      </c>
      <c r="D23" s="12" t="s">
        <v>49</v>
      </c>
      <c r="E23" s="12" t="s">
        <v>143</v>
      </c>
      <c r="F23" s="12" t="s">
        <v>17</v>
      </c>
      <c r="G23" s="12" t="s">
        <v>7</v>
      </c>
      <c r="H23" s="20">
        <v>385</v>
      </c>
      <c r="I23" s="14">
        <v>224</v>
      </c>
      <c r="J23" s="14" t="s">
        <v>96</v>
      </c>
      <c r="K23" s="14">
        <v>161</v>
      </c>
      <c r="L23" s="15">
        <v>5</v>
      </c>
      <c r="M23" s="12" t="s">
        <v>93</v>
      </c>
      <c r="N23" s="12" t="s">
        <v>97</v>
      </c>
      <c r="O23" s="25" t="s">
        <v>144</v>
      </c>
      <c r="P23" s="16">
        <f>IF(F23="TL",H23,IF(F23="EUR",H23*Inputs!$B$5,IF(F23="SEK",H23*Inputs!$B$6,IF(F23="NOK",H23*Inputs!$B$7,0))))</f>
        <v>20427.079750000001</v>
      </c>
      <c r="Q23" s="16">
        <f>IF(L23&gt;0,P23/L23,"")</f>
        <v>4085.4159500000001</v>
      </c>
    </row>
    <row r="24" spans="1:17" ht="32.25" customHeight="1">
      <c r="A24" s="12">
        <v>15</v>
      </c>
      <c r="B24" s="12" t="s">
        <v>118</v>
      </c>
      <c r="C24" s="12" t="s">
        <v>44</v>
      </c>
      <c r="D24" s="12" t="s">
        <v>49</v>
      </c>
      <c r="E24" s="12" t="s">
        <v>145</v>
      </c>
      <c r="F24" s="12" t="s">
        <v>146</v>
      </c>
      <c r="G24" s="12" t="s">
        <v>10</v>
      </c>
      <c r="H24" s="18">
        <v>2026.62</v>
      </c>
      <c r="I24" s="14" t="s">
        <v>96</v>
      </c>
      <c r="J24" s="19">
        <f>CostTable[[#This Row],[Tutar]]</f>
        <v>2026.62</v>
      </c>
      <c r="K24" s="14" t="s">
        <v>96</v>
      </c>
      <c r="L24" s="15">
        <v>4</v>
      </c>
      <c r="M24" s="12" t="s">
        <v>93</v>
      </c>
      <c r="N24" s="12" t="s">
        <v>97</v>
      </c>
      <c r="O24" s="25" t="s">
        <v>147</v>
      </c>
      <c r="P24" s="16">
        <f>IF(F24="TL",H24,IF(F24="EUR",H24*Inputs!$B$5,IF(F24="SEK",H24*Inputs!$B$6,IF(F24="NOK",H24*Inputs!$B$7,0))))</f>
        <v>9664.3427940000001</v>
      </c>
      <c r="Q24" s="16">
        <f>IF(L24&gt;0,P24/L24,"")</f>
        <v>2416.0856985</v>
      </c>
    </row>
    <row r="25" spans="1:17" ht="32.25" customHeight="1">
      <c r="A25" s="12">
        <v>16</v>
      </c>
      <c r="B25" s="12" t="s">
        <v>148</v>
      </c>
      <c r="C25" s="12" t="s">
        <v>32</v>
      </c>
      <c r="D25" s="12" t="s">
        <v>50</v>
      </c>
      <c r="E25" s="12" t="s">
        <v>149</v>
      </c>
      <c r="F25" s="12" t="s">
        <v>16</v>
      </c>
      <c r="G25" s="12" t="s">
        <v>9</v>
      </c>
      <c r="H25" s="13">
        <v>35758.68</v>
      </c>
      <c r="I25" s="14">
        <f>5959.78*2</f>
        <v>11919.56</v>
      </c>
      <c r="J25" s="14">
        <f>5959.78*2</f>
        <v>11919.56</v>
      </c>
      <c r="K25" s="14">
        <f>5959.78*2</f>
        <v>11919.56</v>
      </c>
      <c r="L25" s="15">
        <v>6</v>
      </c>
      <c r="M25" s="12" t="s">
        <v>93</v>
      </c>
      <c r="N25" s="12" t="s">
        <v>94</v>
      </c>
      <c r="O25" s="12" t="s">
        <v>150</v>
      </c>
      <c r="P25" s="16">
        <f>IF(F25="TL",H25,IF(F25="EUR",H25*Inputs!$B$5,IF(F25="SEK",H25*Inputs!$B$6,IF(F25="NOK",H25*Inputs!$B$7,0))))</f>
        <v>35758.68</v>
      </c>
      <c r="Q25" s="16">
        <f>IF(L25&gt;0,P25/L25,"")</f>
        <v>5959.78</v>
      </c>
    </row>
    <row r="26" spans="1:17" ht="32.25" customHeight="1">
      <c r="A26" s="12">
        <v>17</v>
      </c>
      <c r="B26" s="12" t="s">
        <v>148</v>
      </c>
      <c r="C26" s="12" t="s">
        <v>32</v>
      </c>
      <c r="D26" s="12" t="s">
        <v>51</v>
      </c>
      <c r="E26" s="12" t="s">
        <v>149</v>
      </c>
      <c r="F26" s="12" t="s">
        <v>16</v>
      </c>
      <c r="G26" s="12" t="s">
        <v>9</v>
      </c>
      <c r="H26" s="13">
        <v>16829.34</v>
      </c>
      <c r="I26" s="14">
        <f>CostTable[[#This Row],[Tutar]]/3</f>
        <v>5609.78</v>
      </c>
      <c r="J26" s="14">
        <f>CostTable[[#This Row],[Tutar]]/3*2</f>
        <v>11219.56</v>
      </c>
      <c r="K26" s="14" t="s">
        <v>96</v>
      </c>
      <c r="L26" s="15">
        <v>3</v>
      </c>
      <c r="M26" s="12" t="s">
        <v>93</v>
      </c>
      <c r="N26" s="12" t="s">
        <v>97</v>
      </c>
      <c r="O26" s="12" t="s">
        <v>98</v>
      </c>
      <c r="P26" s="16">
        <f>IF(F26="TL",H26,IF(F26="EUR",H26*Inputs!$B$5,IF(F26="SEK",H26*Inputs!$B$6,IF(F26="NOK",H26*Inputs!$B$7,0))))</f>
        <v>16829.34</v>
      </c>
      <c r="Q26" s="16">
        <f>IF(L26&gt;0,P26/L26,"")</f>
        <v>5609.78</v>
      </c>
    </row>
    <row r="27" spans="1:17" ht="32.25" customHeight="1">
      <c r="A27" s="17"/>
      <c r="B27" s="17"/>
      <c r="C27" s="17"/>
      <c r="D27" s="17" t="s">
        <v>52</v>
      </c>
      <c r="E27" s="17"/>
      <c r="F27" s="17"/>
      <c r="G27" s="17" t="s">
        <v>7</v>
      </c>
      <c r="H27" s="41">
        <f>SUBTOTAL(109,I27:K27)</f>
        <v>2740</v>
      </c>
      <c r="I27" s="26">
        <f>540*2+580</f>
        <v>1660</v>
      </c>
      <c r="J27" s="26" t="s">
        <v>96</v>
      </c>
      <c r="K27" s="26">
        <f>540*2</f>
        <v>1080</v>
      </c>
      <c r="L27" s="26">
        <v>5</v>
      </c>
      <c r="M27" s="17"/>
      <c r="N27" s="17"/>
      <c r="O27" s="17"/>
      <c r="P27" s="17"/>
      <c r="Q27" s="17"/>
    </row>
    <row r="28" spans="1:17" ht="32.25" customHeight="1">
      <c r="A28" s="39"/>
      <c r="B28" s="17"/>
      <c r="C28" s="17"/>
      <c r="D28" s="17" t="s">
        <v>52</v>
      </c>
      <c r="E28" s="17"/>
      <c r="F28" s="17"/>
      <c r="G28" s="12" t="s">
        <v>10</v>
      </c>
      <c r="H28" s="17">
        <v>2160</v>
      </c>
      <c r="I28" s="14" t="s">
        <v>96</v>
      </c>
      <c r="J28" s="14">
        <v>2160</v>
      </c>
      <c r="K28" s="14" t="s">
        <v>96</v>
      </c>
      <c r="L28" s="26">
        <v>4</v>
      </c>
      <c r="M28" s="17"/>
      <c r="N28" s="17"/>
      <c r="O28" s="17"/>
      <c r="P28" s="17"/>
      <c r="Q28" s="40"/>
    </row>
    <row r="29" spans="1:17" ht="32.25" customHeight="1">
      <c r="A29" s="12">
        <v>23</v>
      </c>
      <c r="B29" s="12" t="s">
        <v>151</v>
      </c>
      <c r="C29" s="12" t="s">
        <v>152</v>
      </c>
      <c r="D29" s="12" t="s">
        <v>153</v>
      </c>
      <c r="E29" s="12" t="s">
        <v>154</v>
      </c>
      <c r="F29" s="12" t="s">
        <v>16</v>
      </c>
      <c r="G29" s="12"/>
      <c r="H29" s="16">
        <v>0</v>
      </c>
      <c r="I29" s="14"/>
      <c r="J29" s="14"/>
      <c r="K29" s="14"/>
      <c r="L29" s="15">
        <v>9</v>
      </c>
      <c r="M29" s="12" t="s">
        <v>155</v>
      </c>
      <c r="N29" s="12" t="s">
        <v>156</v>
      </c>
      <c r="O29" s="12" t="s">
        <v>157</v>
      </c>
      <c r="P29" s="16">
        <f>IF(F29="TL",H29,IF(F29="EUR",H29*Inputs!$B$5,IF(F29="SEK",H29*Inputs!$B$6,IF(F29="NOK",H29*Inputs!$B$7,0))))</f>
        <v>0</v>
      </c>
      <c r="Q29" s="16">
        <f>IF(L29&gt;0,P29/L29,"")</f>
        <v>0</v>
      </c>
    </row>
    <row r="30" spans="1:17" ht="32.25" customHeight="1">
      <c r="A30" s="12">
        <v>24</v>
      </c>
      <c r="B30" s="12" t="s">
        <v>158</v>
      </c>
      <c r="C30" s="12" t="s">
        <v>152</v>
      </c>
      <c r="D30" s="12" t="s">
        <v>159</v>
      </c>
      <c r="E30" s="12" t="s">
        <v>160</v>
      </c>
      <c r="F30" s="12" t="s">
        <v>17</v>
      </c>
      <c r="G30" s="12"/>
      <c r="H30" s="16">
        <v>0</v>
      </c>
      <c r="I30" s="14"/>
      <c r="J30" s="14"/>
      <c r="K30" s="14"/>
      <c r="L30" s="15">
        <v>9</v>
      </c>
      <c r="M30" s="12" t="s">
        <v>155</v>
      </c>
      <c r="N30" s="12" t="s">
        <v>97</v>
      </c>
      <c r="O30" s="12" t="s">
        <v>161</v>
      </c>
      <c r="P30" s="16">
        <f>IF(F30="TL",H30,IF(F30="EUR",H30*Inputs!$B$5,IF(F30="SEK",H30*Inputs!$B$6,IF(F30="NOK",H30*Inputs!$B$7,0))))</f>
        <v>0</v>
      </c>
      <c r="Q30" s="16">
        <f>IF(L30&gt;0,P30/L30,"")</f>
        <v>0</v>
      </c>
    </row>
    <row r="31" spans="1:17" ht="32.25" customHeight="1">
      <c r="A31" s="12">
        <v>25</v>
      </c>
      <c r="B31" s="12" t="s">
        <v>158</v>
      </c>
      <c r="C31" s="12" t="s">
        <v>162</v>
      </c>
      <c r="D31" s="12" t="s">
        <v>163</v>
      </c>
      <c r="E31" s="12" t="s">
        <v>164</v>
      </c>
      <c r="F31" s="12" t="s">
        <v>17</v>
      </c>
      <c r="G31" s="12"/>
      <c r="H31" s="16">
        <v>0</v>
      </c>
      <c r="I31" s="14"/>
      <c r="J31" s="14"/>
      <c r="K31" s="14"/>
      <c r="L31" s="15">
        <v>9</v>
      </c>
      <c r="M31" s="12" t="s">
        <v>155</v>
      </c>
      <c r="N31" s="12" t="s">
        <v>97</v>
      </c>
      <c r="O31" s="12" t="s">
        <v>165</v>
      </c>
      <c r="P31" s="16">
        <f>IF(F31="TL",H31,IF(F31="EUR",H31*Inputs!$B$5,IF(F31="SEK",H31*Inputs!$B$6,IF(F31="NOK",H31*Inputs!$B$7,0))))</f>
        <v>0</v>
      </c>
      <c r="Q31" s="16">
        <f>IF(L31&gt;0,P31/L31,"")</f>
        <v>0</v>
      </c>
    </row>
    <row r="32" spans="1:17" ht="32.25" customHeight="1">
      <c r="A32" s="12">
        <v>26</v>
      </c>
      <c r="B32" s="12" t="s">
        <v>158</v>
      </c>
      <c r="C32" s="12" t="s">
        <v>166</v>
      </c>
      <c r="D32" s="12" t="s">
        <v>167</v>
      </c>
      <c r="E32" s="12" t="s">
        <v>168</v>
      </c>
      <c r="F32" s="12" t="s">
        <v>17</v>
      </c>
      <c r="G32" s="12"/>
      <c r="H32" s="16">
        <v>0</v>
      </c>
      <c r="I32" s="14"/>
      <c r="J32" s="14"/>
      <c r="K32" s="14"/>
      <c r="L32" s="15">
        <v>9</v>
      </c>
      <c r="M32" s="12" t="s">
        <v>155</v>
      </c>
      <c r="N32" s="12" t="s">
        <v>97</v>
      </c>
      <c r="O32" s="12" t="s">
        <v>169</v>
      </c>
      <c r="P32" s="16">
        <f>IF(F32="TL",H32,IF(F32="EUR",H32*Inputs!$B$5,IF(F32="SEK",H32*Inputs!$B$6,IF(F32="NOK",H32*Inputs!$B$7,0))))</f>
        <v>0</v>
      </c>
      <c r="Q32" s="16">
        <f>IF(L32&gt;0,P32/L32,"")</f>
        <v>0</v>
      </c>
    </row>
    <row r="33" spans="1:17" ht="32.25" customHeight="1">
      <c r="A33" s="12">
        <v>27</v>
      </c>
      <c r="B33" s="12" t="s">
        <v>158</v>
      </c>
      <c r="C33" s="12" t="s">
        <v>170</v>
      </c>
      <c r="D33" s="12" t="s">
        <v>171</v>
      </c>
      <c r="E33" s="12" t="s">
        <v>154</v>
      </c>
      <c r="F33" s="12" t="s">
        <v>17</v>
      </c>
      <c r="G33" s="12"/>
      <c r="H33" s="16">
        <v>0</v>
      </c>
      <c r="I33" s="14"/>
      <c r="J33" s="14"/>
      <c r="K33" s="14"/>
      <c r="L33" s="15">
        <v>9</v>
      </c>
      <c r="M33" s="12" t="s">
        <v>155</v>
      </c>
      <c r="N33" s="12" t="s">
        <v>97</v>
      </c>
      <c r="O33" s="12" t="s">
        <v>172</v>
      </c>
      <c r="P33" s="16">
        <f>IF(F33="TL",H33,IF(F33="EUR",H33*Inputs!$B$5,IF(F33="SEK",H33*Inputs!$B$6,IF(F33="NOK",H33*Inputs!$B$7,0))))</f>
        <v>0</v>
      </c>
      <c r="Q33" s="16">
        <f>IF(L33&gt;0,P33/L33,"")</f>
        <v>0</v>
      </c>
    </row>
    <row r="34" spans="1:17">
      <c r="A34" s="17"/>
      <c r="B34" s="17"/>
      <c r="C34" s="17"/>
      <c r="D34" s="17"/>
      <c r="E34" s="17"/>
      <c r="F34" s="17"/>
      <c r="G34" s="17"/>
      <c r="H34" s="17"/>
      <c r="I34" s="14"/>
      <c r="J34" s="14"/>
      <c r="K34" s="14"/>
      <c r="L34" s="26"/>
      <c r="M34" s="17"/>
      <c r="N34" s="17"/>
      <c r="O34" s="17"/>
      <c r="P34" s="17"/>
      <c r="Q34" s="17"/>
    </row>
  </sheetData>
  <mergeCells count="2">
    <mergeCell ref="A2:Q2"/>
    <mergeCell ref="A1:Q1"/>
  </mergeCells>
  <conditionalFormatting sqref="D7:D26 D29:D33">
    <cfRule type="containsText" dxfId="16" priority="5" operator="containsText" text="riga">
      <formula>NOT(ISERROR(SEARCH("riga",D7)))</formula>
    </cfRule>
  </conditionalFormatting>
  <conditionalFormatting sqref="D7:D34">
    <cfRule type="containsText" dxfId="15" priority="1" operator="containsText" text="OSLO">
      <formula>NOT(ISERROR(SEARCH("OSLO",D7)))</formula>
    </cfRule>
    <cfRule type="containsText" dxfId="14" priority="2" operator="containsText" text="stockholm">
      <formula>NOT(ISERROR(SEARCH("stockholm",D7)))</formula>
    </cfRule>
    <cfRule type="containsText" dxfId="13" priority="3" operator="containsText" text="helsinki">
      <formula>NOT(ISERROR(SEARCH("helsinki",D7)))</formula>
    </cfRule>
    <cfRule type="containsText" dxfId="12" priority="4" operator="containsText" text="tallinn">
      <formula>NOT(ISERROR(SEARCH("tallinn",D7)))</formula>
    </cfRule>
  </conditionalFormatting>
  <conditionalFormatting sqref="M5:M26 M29:M33">
    <cfRule type="expression" dxfId="11" priority="6">
      <formula>M5="Eksik"</formula>
    </cfRule>
    <cfRule type="expression" dxfId="10" priority="7">
      <formula>M5="Kısmi"</formula>
    </cfRule>
  </conditionalFormatting>
  <conditionalFormatting sqref="N5:N26 N29:N33">
    <cfRule type="expression" dxfId="9" priority="8">
      <formula>N5="Yüksek"</formula>
    </cfRule>
  </conditionalFormatting>
  <dataValidations count="2">
    <dataValidation type="list" sqref="M5:M26 M29:M33" xr:uid="{00000000-0002-0000-0100-000000000000}">
      <formula1>"Onaylı,Kısmi,Eksik,Tahmini"</formula1>
    </dataValidation>
    <dataValidation type="list" sqref="N5:N26 N29:N33" xr:uid="{00000000-0002-0000-0100-000001000000}">
      <formula1>"Düşük,Orta,Yüksek"</formula1>
    </dataValidation>
  </dataValidations>
  <pageMargins left="0.7" right="0.7" top="0.75" bottom="0.75" header="0.3" footer="0.3"/>
  <pageSetup paperSize="9" scale="47" fitToHeight="0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8"/>
  <sheetViews>
    <sheetView workbookViewId="0">
      <selection activeCell="H5" sqref="H5"/>
    </sheetView>
  </sheetViews>
  <sheetFormatPr defaultRowHeight="14"/>
  <sheetData>
    <row r="1" spans="1:21" ht="42.75" customHeight="1">
      <c r="A1" s="31">
        <v>4</v>
      </c>
      <c r="B1" s="31" t="s">
        <v>99</v>
      </c>
      <c r="C1" s="31" t="s">
        <v>36</v>
      </c>
      <c r="D1" s="31" t="s">
        <v>37</v>
      </c>
      <c r="E1" s="31" t="s">
        <v>102</v>
      </c>
      <c r="F1" s="31" t="s">
        <v>17</v>
      </c>
      <c r="G1" s="35">
        <v>90</v>
      </c>
      <c r="H1" s="32">
        <v>30</v>
      </c>
      <c r="I1" s="32">
        <v>40</v>
      </c>
      <c r="J1" s="32">
        <v>20</v>
      </c>
      <c r="K1" s="33">
        <v>9</v>
      </c>
      <c r="L1" s="31" t="s">
        <v>93</v>
      </c>
      <c r="M1" s="31" t="s">
        <v>94</v>
      </c>
      <c r="N1" s="31" t="s">
        <v>103</v>
      </c>
      <c r="O1" s="34">
        <f>IF(F1="TL",G1,IF(F1="EUR",G1*Inputs!$B$5,IF(F1="SEK",G1*Inputs!$B$6,IF(F1="NOK",G1*Inputs!$B$7,0))))</f>
        <v>4775.1615000000002</v>
      </c>
      <c r="P1" s="34">
        <f>IF(K1&gt;0,O1/K1,"")</f>
        <v>530.57349999999997</v>
      </c>
    </row>
    <row r="2" spans="1:21" ht="28.5" customHeight="1">
      <c r="A2" s="27">
        <v>5</v>
      </c>
      <c r="B2" s="27" t="s">
        <v>104</v>
      </c>
      <c r="C2" s="27" t="s">
        <v>36</v>
      </c>
      <c r="D2" s="27" t="s">
        <v>38</v>
      </c>
      <c r="E2" s="27" t="s">
        <v>105</v>
      </c>
      <c r="F2" s="27" t="s">
        <v>16</v>
      </c>
      <c r="G2" s="35">
        <v>7731</v>
      </c>
      <c r="H2" s="28">
        <f>859*3</f>
        <v>2577</v>
      </c>
      <c r="I2" s="28">
        <f>859*4</f>
        <v>3436</v>
      </c>
      <c r="J2" s="28">
        <f>859*2</f>
        <v>1718</v>
      </c>
      <c r="K2" s="29">
        <v>9</v>
      </c>
      <c r="L2" s="27" t="s">
        <v>93</v>
      </c>
      <c r="M2" s="27" t="s">
        <v>94</v>
      </c>
      <c r="N2" s="27" t="s">
        <v>106</v>
      </c>
      <c r="O2" s="30">
        <f>IF(F2="TL",G2,IF(F2="EUR",G2*Inputs!$B$5,IF(F2="SEK",G2*Inputs!$B$6,IF(F2="NOK",G2*Inputs!$B$7,0))))</f>
        <v>7731</v>
      </c>
      <c r="P2" s="30">
        <f>IF(K2&gt;0,O2/K2,"")</f>
        <v>859</v>
      </c>
    </row>
    <row r="3" spans="1:21" ht="71.25" customHeight="1">
      <c r="A3" s="31">
        <v>6</v>
      </c>
      <c r="B3" s="31" t="s">
        <v>107</v>
      </c>
      <c r="C3" s="31" t="s">
        <v>36</v>
      </c>
      <c r="D3" s="31" t="s">
        <v>39</v>
      </c>
      <c r="E3" s="31" t="s">
        <v>108</v>
      </c>
      <c r="F3" s="31" t="s">
        <v>16</v>
      </c>
      <c r="G3" s="35">
        <v>6561</v>
      </c>
      <c r="H3" s="32">
        <f>729*3</f>
        <v>2187</v>
      </c>
      <c r="I3" s="32">
        <f>729*2</f>
        <v>1458</v>
      </c>
      <c r="J3" s="32">
        <f>729*4</f>
        <v>2916</v>
      </c>
      <c r="K3" s="33">
        <v>9</v>
      </c>
      <c r="L3" s="31" t="s">
        <v>93</v>
      </c>
      <c r="M3" s="31" t="s">
        <v>94</v>
      </c>
      <c r="N3" s="31" t="s">
        <v>109</v>
      </c>
      <c r="O3" s="34">
        <f>IF(F3="TL",G3,IF(F3="EUR",G3*Inputs!$B$5,IF(F3="SEK",G3*Inputs!$B$6,IF(F3="NOK",G3*Inputs!$B$7,0))))</f>
        <v>6561</v>
      </c>
      <c r="P3" s="34">
        <f>IF(K3&gt;0,O3/K3,"")</f>
        <v>729</v>
      </c>
      <c r="T3">
        <v>102</v>
      </c>
      <c r="U3">
        <v>66</v>
      </c>
    </row>
    <row r="4" spans="1:21" ht="32.25" customHeight="1">
      <c r="A4" s="12">
        <v>9</v>
      </c>
      <c r="B4" s="12" t="s">
        <v>118</v>
      </c>
      <c r="C4" s="12" t="s">
        <v>42</v>
      </c>
      <c r="D4" s="12" t="s">
        <v>43</v>
      </c>
      <c r="E4" s="12" t="s">
        <v>119</v>
      </c>
      <c r="F4" s="12" t="s">
        <v>18</v>
      </c>
      <c r="G4" s="20">
        <f>2275+1046</f>
        <v>3321</v>
      </c>
      <c r="H4" s="16">
        <f>455*3</f>
        <v>1365</v>
      </c>
      <c r="I4" s="14">
        <v>1046</v>
      </c>
      <c r="J4" s="14">
        <f>455*2</f>
        <v>910</v>
      </c>
      <c r="K4" s="15">
        <v>5</v>
      </c>
      <c r="L4" s="12" t="s">
        <v>93</v>
      </c>
      <c r="M4" s="12" t="s">
        <v>97</v>
      </c>
      <c r="N4" s="12" t="s">
        <v>120</v>
      </c>
      <c r="O4" s="16">
        <f>IF(F4="TL",G4,IF(F4="EUR",G4*Inputs!$B$5,IF(F4="SEK",G4*Inputs!$B$6,IF(F4="NOK",G4*Inputs!$B$7,0))))</f>
        <v>16048.566449999998</v>
      </c>
      <c r="P4" s="16">
        <f>IF(K4&gt;0,O4/K4,"")</f>
        <v>3209.7132899999997</v>
      </c>
    </row>
    <row r="5" spans="1:21" ht="71.25" customHeight="1">
      <c r="A5" s="12">
        <v>20</v>
      </c>
      <c r="B5" s="12" t="s">
        <v>104</v>
      </c>
      <c r="C5" s="12" t="s">
        <v>44</v>
      </c>
      <c r="D5" s="12" t="s">
        <v>125</v>
      </c>
      <c r="E5" s="12" t="s">
        <v>126</v>
      </c>
      <c r="F5" s="12" t="s">
        <v>17</v>
      </c>
      <c r="G5" s="20">
        <v>100.92</v>
      </c>
      <c r="H5" s="20">
        <f>CostTable[[#This Row],[Tutar]]</f>
        <v>39213.9</v>
      </c>
      <c r="I5" s="14" t="s">
        <v>96</v>
      </c>
      <c r="J5" s="14" t="s">
        <v>96</v>
      </c>
      <c r="K5" s="15">
        <v>3</v>
      </c>
      <c r="L5" s="12" t="s">
        <v>93</v>
      </c>
      <c r="M5" s="12" t="s">
        <v>94</v>
      </c>
      <c r="N5" s="12" t="s">
        <v>127</v>
      </c>
      <c r="O5" s="16">
        <f>IF(F5="TL",G5,IF(F5="EUR",G5*Inputs!$B$5,IF(F5="SEK",G5*Inputs!$B$6,IF(F5="NOK",G5*Inputs!$B$7,0))))</f>
        <v>5354.5477620000001</v>
      </c>
      <c r="P5" s="16"/>
    </row>
    <row r="6" spans="1:21" ht="32.25" customHeight="1">
      <c r="A6" s="12">
        <v>14</v>
      </c>
      <c r="B6" s="12" t="s">
        <v>135</v>
      </c>
      <c r="C6" s="12" t="s">
        <v>44</v>
      </c>
      <c r="D6" s="12" t="s">
        <v>136</v>
      </c>
      <c r="E6" s="12" t="s">
        <v>137</v>
      </c>
      <c r="F6" s="12" t="s">
        <v>17</v>
      </c>
      <c r="G6" s="20">
        <v>137</v>
      </c>
      <c r="H6" s="20">
        <v>137</v>
      </c>
      <c r="I6" s="14" t="s">
        <v>96</v>
      </c>
      <c r="J6" s="14" t="s">
        <v>96</v>
      </c>
      <c r="K6" s="15">
        <v>3</v>
      </c>
      <c r="L6" s="12" t="s">
        <v>93</v>
      </c>
      <c r="M6" s="12" t="s">
        <v>94</v>
      </c>
      <c r="N6" s="12" t="s">
        <v>138</v>
      </c>
      <c r="O6" s="16">
        <f>IF(F6="TL",G6,IF(F6="EUR",G6*Inputs!$B$5,IF(F6="SEK",G6*Inputs!$B$6,IF(F6="NOK",G6*Inputs!$B$7,0))))</f>
        <v>7268.8569500000003</v>
      </c>
      <c r="P6" s="16">
        <f>IF(K6&gt;0,O6/K6,"")</f>
        <v>2422.9523166666668</v>
      </c>
    </row>
    <row r="7" spans="1:21" ht="32.25" customHeight="1">
      <c r="A7" s="12">
        <v>15</v>
      </c>
      <c r="B7" s="12" t="s">
        <v>118</v>
      </c>
      <c r="C7" s="12" t="s">
        <v>44</v>
      </c>
      <c r="D7" s="12" t="s">
        <v>49</v>
      </c>
      <c r="E7" s="12" t="s">
        <v>143</v>
      </c>
      <c r="F7" s="12" t="s">
        <v>17</v>
      </c>
      <c r="G7" s="20">
        <v>385</v>
      </c>
      <c r="H7" s="14">
        <v>224</v>
      </c>
      <c r="I7" s="14" t="s">
        <v>96</v>
      </c>
      <c r="J7" s="14">
        <v>161</v>
      </c>
      <c r="K7" s="15">
        <v>5</v>
      </c>
      <c r="L7" s="12" t="s">
        <v>93</v>
      </c>
      <c r="M7" s="12" t="s">
        <v>97</v>
      </c>
      <c r="N7" s="25" t="s">
        <v>144</v>
      </c>
      <c r="O7" s="16">
        <f>IF(F7="TL",G7,IF(F7="EUR",G7*Inputs!$B$5,IF(F7="SEK",G7*Inputs!$B$6,IF(F7="NOK",G7*Inputs!$B$7,0))))</f>
        <v>20427.079750000001</v>
      </c>
      <c r="P7" s="16">
        <f>IF(K7&gt;0,O7/K7,"")</f>
        <v>4085.4159500000001</v>
      </c>
    </row>
    <row r="8" spans="1:21" ht="32.25" customHeight="1">
      <c r="A8" s="12">
        <v>7</v>
      </c>
      <c r="B8" s="12" t="s">
        <v>110</v>
      </c>
      <c r="C8" s="12" t="s">
        <v>40</v>
      </c>
      <c r="D8" s="12" t="s">
        <v>41</v>
      </c>
      <c r="E8" s="12" t="s">
        <v>111</v>
      </c>
      <c r="F8" s="12" t="s">
        <v>17</v>
      </c>
      <c r="G8" s="38">
        <v>267</v>
      </c>
      <c r="H8" s="21">
        <f>165/5*3</f>
        <v>99</v>
      </c>
      <c r="I8" s="37">
        <v>102</v>
      </c>
      <c r="J8" s="37">
        <f>33*2</f>
        <v>66</v>
      </c>
      <c r="K8" s="15">
        <v>9</v>
      </c>
      <c r="L8" s="12" t="s">
        <v>93</v>
      </c>
      <c r="M8" s="12" t="s">
        <v>94</v>
      </c>
      <c r="N8" s="12" t="s">
        <v>112</v>
      </c>
      <c r="O8" s="16">
        <f>IF(F8="TL",G8,IF(F8="EUR",G8*Inputs!$B$5,IF(F8="SEK",G8*Inputs!$B$6,IF(F8="NOK",G8*Inputs!$B$7,0))))</f>
        <v>14166.312449999999</v>
      </c>
      <c r="P8" s="16">
        <f>IF(K8&gt;0,O8/K8,"")</f>
        <v>1574.0347166666666</v>
      </c>
    </row>
  </sheetData>
  <conditionalFormatting sqref="D1:D8">
    <cfRule type="containsText" dxfId="8" priority="1" operator="containsText" text="OSLO">
      <formula>NOT(ISERROR(SEARCH("OSLO",D1)))</formula>
    </cfRule>
    <cfRule type="containsText" dxfId="7" priority="2" operator="containsText" text="stockholm">
      <formula>NOT(ISERROR(SEARCH("stockholm",D1)))</formula>
    </cfRule>
    <cfRule type="containsText" dxfId="6" priority="3" operator="containsText" text="helsinki">
      <formula>NOT(ISERROR(SEARCH("helsinki",D1)))</formula>
    </cfRule>
    <cfRule type="containsText" dxfId="5" priority="4" operator="containsText" text="tallinn">
      <formula>NOT(ISERROR(SEARCH("tallinn",D1)))</formula>
    </cfRule>
    <cfRule type="containsText" dxfId="4" priority="5" operator="containsText" text="riga">
      <formula>NOT(ISERROR(SEARCH("riga",D1)))</formula>
    </cfRule>
  </conditionalFormatting>
  <conditionalFormatting sqref="L1:L8">
    <cfRule type="expression" dxfId="3" priority="6">
      <formula>L1="Eksik"</formula>
    </cfRule>
    <cfRule type="expression" dxfId="2" priority="7">
      <formula>L1="Kısmi"</formula>
    </cfRule>
  </conditionalFormatting>
  <conditionalFormatting sqref="M1:M8">
    <cfRule type="expression" dxfId="1" priority="8">
      <formula>M1="Yüksek"</formula>
    </cfRule>
  </conditionalFormatting>
  <dataValidations count="2">
    <dataValidation type="list" sqref="M1:M8" xr:uid="{00000000-0002-0000-0200-000000000000}">
      <formula1>"Düşük,Orta,Yüksek"</formula1>
    </dataValidation>
    <dataValidation type="list" sqref="L1:L8" xr:uid="{00000000-0002-0000-0200-000001000000}">
      <formula1>"Onaylı,Kısmi,Eksik,Tahmini"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9"/>
  <sheetViews>
    <sheetView workbookViewId="0">
      <selection sqref="A1:L1"/>
    </sheetView>
  </sheetViews>
  <sheetFormatPr defaultRowHeight="14"/>
  <cols>
    <col min="1" max="7" width="16" customWidth="1"/>
    <col min="8" max="12" width="18" customWidth="1"/>
  </cols>
  <sheetData>
    <row r="1" spans="1:26" ht="22.75" customHeight="1">
      <c r="A1" s="67" t="s">
        <v>173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16" customHeight="1">
      <c r="A2" s="66" t="s">
        <v>174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</row>
    <row r="4" spans="1:26" ht="15" customHeight="1">
      <c r="A4" s="74" t="s">
        <v>175</v>
      </c>
      <c r="B4" s="65"/>
      <c r="C4" s="65"/>
      <c r="D4" s="65"/>
      <c r="E4" s="65"/>
      <c r="F4" s="65"/>
      <c r="G4" s="65"/>
      <c r="H4" s="65"/>
      <c r="I4" s="65"/>
      <c r="J4" s="65"/>
      <c r="K4" s="65"/>
      <c r="L4" s="65"/>
    </row>
    <row r="5" spans="1:26" ht="30" customHeight="1">
      <c r="A5" s="6" t="s">
        <v>176</v>
      </c>
      <c r="B5" s="9">
        <f>SUM(Costs!P5:P34)</f>
        <v>324065.90479600005</v>
      </c>
      <c r="C5" s="6" t="s">
        <v>177</v>
      </c>
      <c r="D5" s="7">
        <f>B5/Inputs!$B$9</f>
        <v>36007.322755111119</v>
      </c>
      <c r="E5" s="6" t="s">
        <v>178</v>
      </c>
      <c r="F5" s="10">
        <f>COUNTIF(Costs!M5:M34,"Eksik")+COUNTIF(Costs!M5:M34,"Kısmi")</f>
        <v>5</v>
      </c>
    </row>
    <row r="6" spans="1:26" ht="15" customHeight="1">
      <c r="A6" s="6" t="s">
        <v>179</v>
      </c>
      <c r="B6" s="9">
        <f>SUMIF(Costs!F5:F34,"TL",Costs!H5:H34)</f>
        <v>132889.10999999999</v>
      </c>
      <c r="C6" s="6" t="s">
        <v>180</v>
      </c>
      <c r="D6" s="9">
        <f>SUMIF(Costs!F5:F34,"EUR",Costs!H5:H34)</f>
        <v>3015.67</v>
      </c>
      <c r="E6" s="6" t="s">
        <v>181</v>
      </c>
      <c r="F6" s="9">
        <f>SUMIF(Costs!F5:F34,"SEK",Costs!H5:H34)</f>
        <v>4450.95</v>
      </c>
    </row>
    <row r="7" spans="1:26" ht="30" customHeight="1">
      <c r="A7" s="6" t="s">
        <v>182</v>
      </c>
      <c r="B7" s="9">
        <f>SUMIF(Costs!F5:F34,"EUR",Costs!H5:H34)-2677.7</f>
        <v>337.97000000000025</v>
      </c>
      <c r="C7" s="6" t="s">
        <v>183</v>
      </c>
      <c r="D7" s="7">
        <f>B5*Inputs!$B$8</f>
        <v>32406.590479600007</v>
      </c>
      <c r="E7" s="6" t="s">
        <v>184</v>
      </c>
      <c r="F7" s="7">
        <f>B5+D7</f>
        <v>356472.49527560006</v>
      </c>
    </row>
    <row r="10" spans="1:26" ht="15" customHeight="1">
      <c r="A10" s="1" t="s">
        <v>27</v>
      </c>
      <c r="B10" s="1" t="s">
        <v>15</v>
      </c>
      <c r="C10" s="1" t="s">
        <v>185</v>
      </c>
      <c r="D10" s="1" t="s">
        <v>93</v>
      </c>
      <c r="E10" s="1" t="s">
        <v>186</v>
      </c>
      <c r="F10" s="1" t="s">
        <v>155</v>
      </c>
      <c r="H10" s="72" t="s">
        <v>187</v>
      </c>
      <c r="I10" s="65"/>
      <c r="J10" s="65"/>
      <c r="K10" s="65"/>
      <c r="L10" s="65"/>
    </row>
    <row r="11" spans="1:26">
      <c r="A11" s="2" t="s">
        <v>32</v>
      </c>
      <c r="B11" s="5">
        <f>SUMIF(Costs!$C$5:$C$34,A11,Costs!$P$5:$P$34)</f>
        <v>128552.82321849998</v>
      </c>
      <c r="C11" s="2">
        <f>COUNTIF(Costs!$C$5:$C$34,A11)</f>
        <v>5</v>
      </c>
      <c r="D11" s="2">
        <f>COUNTIFS(Costs!$C$5:$C$34,A11,Costs!$M$5:$M$34,"Onaylı")</f>
        <v>5</v>
      </c>
      <c r="E11" s="2">
        <f>COUNTIFS(Costs!$C$5:$C$34,A11,Costs!$M$5:$M$34,"Kısmi")</f>
        <v>0</v>
      </c>
      <c r="F11" s="2">
        <f>COUNTIFS(Costs!$C$5:$C$34,A11,Costs!$M$5:$M$34,"Eksik")</f>
        <v>0</v>
      </c>
      <c r="H11" s="73" t="s">
        <v>188</v>
      </c>
      <c r="I11" s="65"/>
      <c r="J11" s="65"/>
      <c r="K11" s="65"/>
      <c r="L11" s="65"/>
    </row>
    <row r="12" spans="1:26">
      <c r="A12" s="2" t="s">
        <v>36</v>
      </c>
      <c r="B12" s="5">
        <f>SUMIF(Costs!$C$5:$C$34,A12,Costs!$P$5:$P$34)</f>
        <v>19067.161500000002</v>
      </c>
      <c r="C12" s="2">
        <f>COUNTIF(Costs!$C$5:$C$34,A12)</f>
        <v>3</v>
      </c>
      <c r="D12" s="2">
        <f>COUNTIFS(Costs!$C$5:$C$34,A12,Costs!$M$5:$M$34,"Onaylı")</f>
        <v>3</v>
      </c>
      <c r="E12" s="2">
        <f>COUNTIFS(Costs!$C$5:$C$34,A12,Costs!$M$5:$M$34,"Kısmi")</f>
        <v>0</v>
      </c>
      <c r="F12" s="2">
        <f>COUNTIFS(Costs!$C$5:$C$34,A12,Costs!$M$5:$M$34,"Eksik")</f>
        <v>0</v>
      </c>
      <c r="H12" s="73" t="s">
        <v>189</v>
      </c>
      <c r="I12" s="65"/>
      <c r="J12" s="65"/>
      <c r="K12" s="65"/>
      <c r="L12" s="65"/>
    </row>
    <row r="13" spans="1:26">
      <c r="A13" s="2" t="s">
        <v>40</v>
      </c>
      <c r="B13" s="5">
        <f>SUMIF(Costs!$C$5:$C$34,A13,Costs!$P$5:$P$34)</f>
        <v>43825.371099999997</v>
      </c>
      <c r="C13" s="2">
        <f>COUNTIF(Costs!$C$5:$C$34,A13)</f>
        <v>2</v>
      </c>
      <c r="D13" s="2">
        <f>COUNTIFS(Costs!$C$5:$C$34,A13,Costs!$M$5:$M$34,"Onaylı")</f>
        <v>2</v>
      </c>
      <c r="E13" s="2">
        <f>COUNTIFS(Costs!$C$5:$C$34,A13,Costs!$M$5:$M$34,"Kısmi")</f>
        <v>0</v>
      </c>
      <c r="F13" s="2">
        <f>COUNTIFS(Costs!$C$5:$C$34,A13,Costs!$M$5:$M$34,"Eksik")</f>
        <v>0</v>
      </c>
      <c r="H13" s="73" t="s">
        <v>190</v>
      </c>
      <c r="I13" s="65"/>
      <c r="J13" s="65"/>
      <c r="K13" s="65"/>
      <c r="L13" s="65"/>
    </row>
    <row r="14" spans="1:26">
      <c r="A14" s="2" t="s">
        <v>42</v>
      </c>
      <c r="B14" s="5">
        <f>SUMIF(Costs!$C$5:$C$34,A14,Costs!$P$5:$P$34)</f>
        <v>16048.566449999998</v>
      </c>
      <c r="C14" s="2">
        <f>COUNTIF(Costs!$C$5:$C$34,A14)</f>
        <v>1</v>
      </c>
      <c r="D14" s="2">
        <f>COUNTIFS(Costs!$C$5:$C$34,A14,Costs!$M$5:$M$34,"Onaylı")</f>
        <v>1</v>
      </c>
      <c r="E14" s="2">
        <f>COUNTIFS(Costs!$C$5:$C$34,A14,Costs!$M$5:$M$34,"Kısmi")</f>
        <v>0</v>
      </c>
      <c r="F14" s="2">
        <f>COUNTIFS(Costs!$C$5:$C$34,A14,Costs!$M$5:$M$34,"Eksik")</f>
        <v>0</v>
      </c>
      <c r="H14" s="73" t="s">
        <v>191</v>
      </c>
      <c r="I14" s="65"/>
      <c r="J14" s="65"/>
      <c r="K14" s="65"/>
      <c r="L14" s="65"/>
    </row>
    <row r="15" spans="1:26">
      <c r="A15" s="2" t="s">
        <v>44</v>
      </c>
      <c r="B15" s="5">
        <f>SUMIF(Costs!$C$5:$C$34,A15,Costs!$P$5:$P$34)</f>
        <v>116571.98252749999</v>
      </c>
      <c r="C15" s="2">
        <f>COUNTIF(Costs!$C$5:$C$34,A15)</f>
        <v>11</v>
      </c>
      <c r="D15" s="2">
        <f>COUNTIFS(Costs!$C$5:$C$34,A15,Costs!$M$5:$M$34,"Onaylı")</f>
        <v>11</v>
      </c>
      <c r="E15" s="2">
        <f>COUNTIFS(Costs!$C$5:$C$34,A15,Costs!$M$5:$M$34,"Kısmi")</f>
        <v>0</v>
      </c>
      <c r="F15" s="2">
        <f>COUNTIFS(Costs!$C$5:$C$34,A15,Costs!$M$5:$M$34,"Eksik")</f>
        <v>0</v>
      </c>
      <c r="H15" s="73" t="s">
        <v>192</v>
      </c>
      <c r="I15" s="65"/>
      <c r="J15" s="65"/>
      <c r="K15" s="65"/>
      <c r="L15" s="65"/>
    </row>
    <row r="16" spans="1:26">
      <c r="A16" s="2" t="s">
        <v>152</v>
      </c>
      <c r="B16" s="5">
        <f>SUMIF(Costs!$C$5:$C$34,A16,Costs!$P$5:$P$34)</f>
        <v>0</v>
      </c>
      <c r="C16" s="2">
        <f>COUNTIF(Costs!$C$5:$C$34,A16)</f>
        <v>2</v>
      </c>
      <c r="D16" s="2">
        <f>COUNTIFS(Costs!$C$5:$C$34,A16,Costs!$M$5:$M$34,"Onaylı")</f>
        <v>0</v>
      </c>
      <c r="E16" s="2">
        <f>COUNTIFS(Costs!$C$5:$C$34,A16,Costs!$M$5:$M$34,"Kısmi")</f>
        <v>0</v>
      </c>
      <c r="F16" s="2">
        <f>COUNTIFS(Costs!$C$5:$C$34,A16,Costs!$M$5:$M$34,"Eksik")</f>
        <v>2</v>
      </c>
      <c r="H16" s="73" t="s">
        <v>193</v>
      </c>
      <c r="I16" s="65"/>
      <c r="J16" s="65"/>
      <c r="K16" s="65"/>
      <c r="L16" s="65"/>
    </row>
    <row r="17" spans="1:12">
      <c r="A17" s="2" t="s">
        <v>162</v>
      </c>
      <c r="B17" s="5">
        <f>SUMIF(Costs!$C$5:$C$34,A17,Costs!$P$5:$P$34)</f>
        <v>0</v>
      </c>
      <c r="C17" s="2">
        <f>COUNTIF(Costs!$C$5:$C$34,A17)</f>
        <v>1</v>
      </c>
      <c r="D17" s="2">
        <f>COUNTIFS(Costs!$C$5:$C$34,A17,Costs!$M$5:$M$34,"Onaylı")</f>
        <v>0</v>
      </c>
      <c r="E17" s="2">
        <f>COUNTIFS(Costs!$C$5:$C$34,A17,Costs!$M$5:$M$34,"Kısmi")</f>
        <v>0</v>
      </c>
      <c r="F17" s="2">
        <f>COUNTIFS(Costs!$C$5:$C$34,A17,Costs!$M$5:$M$34,"Eksik")</f>
        <v>1</v>
      </c>
      <c r="H17" s="73" t="s">
        <v>194</v>
      </c>
      <c r="I17" s="65"/>
      <c r="J17" s="65"/>
      <c r="K17" s="65"/>
      <c r="L17" s="65"/>
    </row>
    <row r="18" spans="1:12">
      <c r="A18" s="2" t="s">
        <v>166</v>
      </c>
      <c r="B18" s="5">
        <f>SUMIF(Costs!$C$5:$C$34,A18,Costs!$P$5:$P$34)</f>
        <v>0</v>
      </c>
      <c r="C18" s="2">
        <f>COUNTIF(Costs!$C$5:$C$34,A18)</f>
        <v>1</v>
      </c>
      <c r="D18" s="2">
        <f>COUNTIFS(Costs!$C$5:$C$34,A18,Costs!$M$5:$M$34,"Onaylı")</f>
        <v>0</v>
      </c>
      <c r="E18" s="2">
        <f>COUNTIFS(Costs!$C$5:$C$34,A18,Costs!$M$5:$M$34,"Kısmi")</f>
        <v>0</v>
      </c>
      <c r="F18" s="2">
        <f>COUNTIFS(Costs!$C$5:$C$34,A18,Costs!$M$5:$M$34,"Eksik")</f>
        <v>1</v>
      </c>
    </row>
    <row r="19" spans="1:12">
      <c r="A19" s="2" t="s">
        <v>170</v>
      </c>
      <c r="B19" s="5">
        <f>SUMIF(Costs!$C$5:$C$34,A19,Costs!$P$5:$P$34)</f>
        <v>0</v>
      </c>
      <c r="C19" s="2">
        <f>COUNTIF(Costs!$C$5:$C$34,A19)</f>
        <v>1</v>
      </c>
      <c r="D19" s="2">
        <f>COUNTIFS(Costs!$C$5:$C$34,A19,Costs!$M$5:$M$34,"Onaylı")</f>
        <v>0</v>
      </c>
      <c r="E19" s="2">
        <f>COUNTIFS(Costs!$C$5:$C$34,A19,Costs!$M$5:$M$34,"Kısmi")</f>
        <v>0</v>
      </c>
      <c r="F19" s="2">
        <f>COUNTIFS(Costs!$C$5:$C$34,A19,Costs!$M$5:$M$34,"Eksik")</f>
        <v>1</v>
      </c>
    </row>
  </sheetData>
  <mergeCells count="11">
    <mergeCell ref="H17:L17"/>
    <mergeCell ref="H11:L11"/>
    <mergeCell ref="H12:L12"/>
    <mergeCell ref="H15:L15"/>
    <mergeCell ref="H16:L16"/>
    <mergeCell ref="A1:L1"/>
    <mergeCell ref="H10:L10"/>
    <mergeCell ref="H14:L14"/>
    <mergeCell ref="H13:L13"/>
    <mergeCell ref="A4:L4"/>
    <mergeCell ref="A2:L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3"/>
  <sheetViews>
    <sheetView topLeftCell="C3" workbookViewId="0">
      <selection activeCell="J8" sqref="J8"/>
    </sheetView>
  </sheetViews>
  <sheetFormatPr defaultRowHeight="14"/>
  <cols>
    <col min="1" max="1" width="11" customWidth="1"/>
    <col min="2" max="2" width="25" customWidth="1"/>
    <col min="3" max="3" width="18" customWidth="1"/>
    <col min="4" max="4" width="24" customWidth="1"/>
    <col min="5" max="5" width="14" customWidth="1"/>
    <col min="6" max="6" width="20" customWidth="1"/>
    <col min="7" max="7" width="44" customWidth="1"/>
    <col min="8" max="8" width="10" customWidth="1"/>
    <col min="9" max="9" width="36" customWidth="1"/>
    <col min="10" max="10" width="32" customWidth="1"/>
  </cols>
  <sheetData>
    <row r="1" spans="1:26" ht="22.75" customHeight="1">
      <c r="A1" s="67" t="s">
        <v>195</v>
      </c>
      <c r="B1" s="65"/>
      <c r="C1" s="65"/>
      <c r="D1" s="65"/>
      <c r="E1" s="65"/>
      <c r="F1" s="65"/>
      <c r="G1" s="65"/>
      <c r="H1" s="65"/>
      <c r="I1" s="65"/>
      <c r="J1" s="65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16" customHeight="1">
      <c r="A2" s="66" t="s">
        <v>196</v>
      </c>
      <c r="B2" s="65"/>
      <c r="C2" s="65"/>
      <c r="D2" s="65"/>
      <c r="E2" s="65"/>
      <c r="F2" s="65"/>
      <c r="G2" s="65"/>
      <c r="H2" s="65"/>
      <c r="I2" s="65"/>
      <c r="J2" s="65"/>
    </row>
    <row r="4" spans="1:26" ht="15" customHeight="1">
      <c r="A4" s="1" t="s">
        <v>81</v>
      </c>
      <c r="B4" s="1" t="s">
        <v>197</v>
      </c>
      <c r="C4" s="1" t="s">
        <v>198</v>
      </c>
      <c r="D4" s="1" t="s">
        <v>199</v>
      </c>
      <c r="E4" s="1" t="s">
        <v>87</v>
      </c>
      <c r="F4" s="1" t="s">
        <v>200</v>
      </c>
      <c r="G4" s="1" t="s">
        <v>201</v>
      </c>
      <c r="H4" s="1" t="s">
        <v>88</v>
      </c>
      <c r="I4" s="1" t="s">
        <v>89</v>
      </c>
      <c r="J4" s="1" t="s">
        <v>202</v>
      </c>
    </row>
    <row r="5" spans="1:26" ht="28.5" customHeight="1">
      <c r="A5" s="2" t="s">
        <v>203</v>
      </c>
      <c r="B5" s="2" t="s">
        <v>204</v>
      </c>
      <c r="C5" s="2" t="s">
        <v>205</v>
      </c>
      <c r="D5" s="2" t="s">
        <v>92</v>
      </c>
      <c r="E5" s="2" t="s">
        <v>93</v>
      </c>
      <c r="F5" s="2" t="s">
        <v>206</v>
      </c>
      <c r="G5" s="2" t="s">
        <v>207</v>
      </c>
      <c r="H5" s="2" t="s">
        <v>97</v>
      </c>
      <c r="I5" s="2" t="s">
        <v>208</v>
      </c>
      <c r="J5" s="2" t="s">
        <v>209</v>
      </c>
    </row>
    <row r="6" spans="1:26" ht="28.5" customHeight="1">
      <c r="A6" s="2" t="s">
        <v>210</v>
      </c>
      <c r="B6" s="2" t="s">
        <v>211</v>
      </c>
      <c r="C6" s="2" t="s">
        <v>212</v>
      </c>
      <c r="D6" s="2" t="s">
        <v>213</v>
      </c>
      <c r="E6" s="2" t="s">
        <v>214</v>
      </c>
      <c r="F6" s="2" t="s">
        <v>215</v>
      </c>
      <c r="G6" s="2" t="s">
        <v>216</v>
      </c>
      <c r="H6" s="2" t="s">
        <v>97</v>
      </c>
      <c r="I6" s="2" t="s">
        <v>217</v>
      </c>
      <c r="J6" s="2" t="s">
        <v>218</v>
      </c>
    </row>
    <row r="7" spans="1:26" ht="29.25" customHeight="1">
      <c r="A7" s="2" t="s">
        <v>219</v>
      </c>
      <c r="B7" s="2" t="s">
        <v>38</v>
      </c>
      <c r="C7" s="2" t="s">
        <v>106</v>
      </c>
      <c r="D7" s="2" t="s">
        <v>220</v>
      </c>
      <c r="E7" s="2" t="s">
        <v>186</v>
      </c>
      <c r="F7" s="2" t="s">
        <v>221</v>
      </c>
      <c r="G7" s="2" t="s">
        <v>222</v>
      </c>
      <c r="H7" s="2" t="s">
        <v>156</v>
      </c>
      <c r="I7" s="2" t="s">
        <v>223</v>
      </c>
      <c r="J7" s="2" t="s">
        <v>224</v>
      </c>
    </row>
    <row r="8" spans="1:26" ht="29.25" customHeight="1">
      <c r="A8" s="2" t="s">
        <v>225</v>
      </c>
      <c r="B8" s="2" t="s">
        <v>39</v>
      </c>
      <c r="C8" s="2" t="s">
        <v>226</v>
      </c>
      <c r="D8" s="2" t="s">
        <v>227</v>
      </c>
      <c r="E8" s="2" t="s">
        <v>186</v>
      </c>
      <c r="F8" s="2" t="s">
        <v>221</v>
      </c>
      <c r="G8" s="2" t="s">
        <v>228</v>
      </c>
      <c r="H8" s="2" t="s">
        <v>156</v>
      </c>
      <c r="I8" s="2" t="s">
        <v>229</v>
      </c>
      <c r="J8" s="2" t="s">
        <v>230</v>
      </c>
    </row>
    <row r="9" spans="1:26" ht="29.25" customHeight="1">
      <c r="A9" s="2" t="s">
        <v>231</v>
      </c>
      <c r="B9" s="2" t="s">
        <v>41</v>
      </c>
      <c r="C9" s="2" t="s">
        <v>232</v>
      </c>
      <c r="D9" s="2" t="s">
        <v>233</v>
      </c>
      <c r="E9" s="2" t="s">
        <v>186</v>
      </c>
      <c r="F9" s="2" t="s">
        <v>234</v>
      </c>
      <c r="G9" s="2" t="s">
        <v>235</v>
      </c>
      <c r="H9" s="2" t="s">
        <v>156</v>
      </c>
      <c r="I9" s="2" t="s">
        <v>236</v>
      </c>
      <c r="J9" s="2" t="s">
        <v>237</v>
      </c>
    </row>
    <row r="10" spans="1:26" ht="28.5" customHeight="1">
      <c r="A10" s="2" t="s">
        <v>238</v>
      </c>
      <c r="B10" s="2" t="s">
        <v>114</v>
      </c>
      <c r="C10" s="2" t="s">
        <v>239</v>
      </c>
      <c r="D10" s="2" t="s">
        <v>240</v>
      </c>
      <c r="E10" s="2" t="s">
        <v>93</v>
      </c>
      <c r="F10" s="2" t="s">
        <v>206</v>
      </c>
      <c r="G10" s="2" t="s">
        <v>241</v>
      </c>
      <c r="H10" s="2" t="s">
        <v>97</v>
      </c>
      <c r="I10" s="2" t="s">
        <v>242</v>
      </c>
      <c r="J10" s="2" t="s">
        <v>243</v>
      </c>
    </row>
    <row r="11" spans="1:26" ht="29.25" customHeight="1">
      <c r="A11" s="2" t="s">
        <v>244</v>
      </c>
      <c r="B11" s="2" t="s">
        <v>245</v>
      </c>
      <c r="C11" s="2" t="s">
        <v>246</v>
      </c>
      <c r="D11" s="2" t="s">
        <v>247</v>
      </c>
      <c r="E11" s="2" t="s">
        <v>186</v>
      </c>
      <c r="F11" s="2" t="s">
        <v>221</v>
      </c>
      <c r="G11" s="2" t="s">
        <v>248</v>
      </c>
      <c r="H11" s="2" t="s">
        <v>156</v>
      </c>
      <c r="I11" s="2" t="s">
        <v>249</v>
      </c>
      <c r="J11" s="2" t="s">
        <v>250</v>
      </c>
    </row>
    <row r="12" spans="1:26">
      <c r="A12" s="2" t="s">
        <v>251</v>
      </c>
      <c r="B12" s="2" t="s">
        <v>43</v>
      </c>
      <c r="C12" s="2" t="s">
        <v>252</v>
      </c>
      <c r="D12" s="2" t="s">
        <v>253</v>
      </c>
      <c r="E12" s="2" t="s">
        <v>186</v>
      </c>
      <c r="F12" s="2" t="s">
        <v>254</v>
      </c>
      <c r="G12" s="2" t="s">
        <v>255</v>
      </c>
      <c r="H12" s="2" t="s">
        <v>97</v>
      </c>
      <c r="I12" s="2" t="s">
        <v>256</v>
      </c>
      <c r="J12" s="2" t="s">
        <v>257</v>
      </c>
    </row>
    <row r="13" spans="1:26" ht="29.25" customHeight="1">
      <c r="A13" s="2" t="s">
        <v>258</v>
      </c>
      <c r="B13" s="2" t="s">
        <v>259</v>
      </c>
      <c r="C13" s="2" t="s">
        <v>260</v>
      </c>
      <c r="D13" s="2" t="s">
        <v>149</v>
      </c>
      <c r="E13" s="2" t="s">
        <v>261</v>
      </c>
      <c r="F13" s="2" t="s">
        <v>262</v>
      </c>
      <c r="G13" s="2" t="s">
        <v>263</v>
      </c>
      <c r="H13" s="2" t="s">
        <v>156</v>
      </c>
      <c r="I13" s="2" t="s">
        <v>264</v>
      </c>
      <c r="J13" s="2" t="s">
        <v>265</v>
      </c>
    </row>
  </sheetData>
  <mergeCells count="2">
    <mergeCell ref="A1:J1"/>
    <mergeCell ref="A2:J2"/>
  </mergeCells>
  <conditionalFormatting sqref="H5:H13">
    <cfRule type="expression" dxfId="0" priority="1">
      <formula>H5="Yüksek"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4"/>
  <sheetViews>
    <sheetView workbookViewId="0">
      <selection sqref="A1:G1"/>
    </sheetView>
  </sheetViews>
  <sheetFormatPr defaultRowHeight="14"/>
  <cols>
    <col min="1" max="1" width="10" customWidth="1"/>
    <col min="2" max="2" width="22" customWidth="1"/>
    <col min="3" max="4" width="42" customWidth="1"/>
    <col min="5" max="5" width="44" customWidth="1"/>
    <col min="6" max="6" width="12" customWidth="1"/>
    <col min="7" max="7" width="28" customWidth="1"/>
  </cols>
  <sheetData>
    <row r="1" spans="1:26" ht="22.75" customHeight="1">
      <c r="A1" s="67" t="s">
        <v>266</v>
      </c>
      <c r="B1" s="65"/>
      <c r="C1" s="65"/>
      <c r="D1" s="65"/>
      <c r="E1" s="65"/>
      <c r="F1" s="65"/>
      <c r="G1" s="65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16" customHeight="1">
      <c r="A2" s="66" t="s">
        <v>267</v>
      </c>
      <c r="B2" s="65"/>
      <c r="C2" s="65"/>
      <c r="D2" s="65"/>
      <c r="E2" s="65"/>
      <c r="F2" s="65"/>
      <c r="G2" s="65"/>
    </row>
    <row r="4" spans="1:26" ht="15" customHeight="1">
      <c r="A4" s="1" t="s">
        <v>268</v>
      </c>
      <c r="B4" s="1" t="s">
        <v>269</v>
      </c>
      <c r="C4" s="1" t="s">
        <v>270</v>
      </c>
      <c r="D4" s="1" t="s">
        <v>271</v>
      </c>
      <c r="E4" s="1" t="s">
        <v>272</v>
      </c>
      <c r="F4" s="1" t="s">
        <v>87</v>
      </c>
      <c r="G4" s="1" t="s">
        <v>273</v>
      </c>
    </row>
    <row r="5" spans="1:26" ht="28.5" customHeight="1">
      <c r="A5" s="2">
        <v>1</v>
      </c>
      <c r="B5" s="2" t="s">
        <v>180</v>
      </c>
      <c r="C5" s="2" t="s">
        <v>274</v>
      </c>
      <c r="D5" s="2" t="s">
        <v>275</v>
      </c>
      <c r="E5" s="2" t="s">
        <v>276</v>
      </c>
      <c r="F5" s="2" t="s">
        <v>277</v>
      </c>
      <c r="G5" s="2"/>
    </row>
    <row r="6" spans="1:26" ht="28.5" customHeight="1">
      <c r="A6" s="2">
        <v>2</v>
      </c>
      <c r="B6" s="2" t="s">
        <v>278</v>
      </c>
      <c r="C6" s="2" t="s">
        <v>279</v>
      </c>
      <c r="D6" s="2" t="s">
        <v>280</v>
      </c>
      <c r="E6" s="2" t="s">
        <v>281</v>
      </c>
      <c r="F6" s="2" t="s">
        <v>277</v>
      </c>
      <c r="G6" s="2"/>
    </row>
    <row r="7" spans="1:26" ht="28.5" customHeight="1">
      <c r="A7" s="2">
        <v>3</v>
      </c>
      <c r="B7" s="2" t="s">
        <v>282</v>
      </c>
      <c r="C7" s="2" t="s">
        <v>283</v>
      </c>
      <c r="D7" s="2" t="s">
        <v>284</v>
      </c>
      <c r="E7" s="2" t="s">
        <v>285</v>
      </c>
      <c r="F7" s="2" t="s">
        <v>277</v>
      </c>
      <c r="G7" s="2"/>
    </row>
    <row r="8" spans="1:26" ht="28.5" customHeight="1">
      <c r="A8" s="2">
        <v>4</v>
      </c>
      <c r="B8" s="2" t="s">
        <v>286</v>
      </c>
      <c r="C8" s="2" t="s">
        <v>287</v>
      </c>
      <c r="D8" s="2" t="s">
        <v>288</v>
      </c>
      <c r="E8" s="2" t="s">
        <v>289</v>
      </c>
      <c r="F8" s="2" t="s">
        <v>277</v>
      </c>
      <c r="G8" s="2"/>
    </row>
    <row r="9" spans="1:26" ht="28.5" customHeight="1">
      <c r="A9" s="2">
        <v>5</v>
      </c>
      <c r="B9" s="2" t="s">
        <v>290</v>
      </c>
      <c r="C9" s="2" t="s">
        <v>291</v>
      </c>
      <c r="D9" s="2" t="s">
        <v>292</v>
      </c>
      <c r="E9" s="2" t="s">
        <v>293</v>
      </c>
      <c r="F9" s="2" t="s">
        <v>277</v>
      </c>
      <c r="G9" s="2"/>
    </row>
    <row r="10" spans="1:26" ht="28.5" customHeight="1">
      <c r="A10" s="2">
        <v>6</v>
      </c>
      <c r="B10" s="2" t="s">
        <v>294</v>
      </c>
      <c r="C10" s="2" t="s">
        <v>295</v>
      </c>
      <c r="D10" s="2" t="s">
        <v>296</v>
      </c>
      <c r="E10" s="2" t="s">
        <v>297</v>
      </c>
      <c r="F10" s="2" t="s">
        <v>277</v>
      </c>
      <c r="G10" s="2"/>
    </row>
    <row r="11" spans="1:26" ht="28.5" customHeight="1">
      <c r="A11" s="2">
        <v>7</v>
      </c>
      <c r="B11" s="2" t="s">
        <v>298</v>
      </c>
      <c r="C11" s="2" t="s">
        <v>299</v>
      </c>
      <c r="D11" s="2" t="s">
        <v>300</v>
      </c>
      <c r="E11" s="2" t="s">
        <v>301</v>
      </c>
      <c r="F11" s="2" t="s">
        <v>277</v>
      </c>
      <c r="G11" s="2"/>
    </row>
    <row r="12" spans="1:26" ht="28.5" customHeight="1">
      <c r="A12" s="2">
        <v>8</v>
      </c>
      <c r="B12" s="2" t="s">
        <v>302</v>
      </c>
      <c r="C12" s="2" t="s">
        <v>303</v>
      </c>
      <c r="D12" s="2" t="s">
        <v>304</v>
      </c>
      <c r="E12" s="2" t="s">
        <v>305</v>
      </c>
      <c r="F12" s="2" t="s">
        <v>277</v>
      </c>
      <c r="G12" s="2"/>
    </row>
    <row r="13" spans="1:26" ht="28.5" customHeight="1">
      <c r="A13" s="2">
        <v>9</v>
      </c>
      <c r="B13" s="2" t="s">
        <v>306</v>
      </c>
      <c r="C13" s="2" t="s">
        <v>307</v>
      </c>
      <c r="D13" s="2" t="s">
        <v>308</v>
      </c>
      <c r="E13" s="2" t="s">
        <v>309</v>
      </c>
      <c r="F13" s="2" t="s">
        <v>277</v>
      </c>
      <c r="G13" s="2"/>
    </row>
    <row r="14" spans="1:26">
      <c r="A14" s="2">
        <v>10</v>
      </c>
      <c r="B14" s="2" t="s">
        <v>310</v>
      </c>
      <c r="C14" s="2" t="s">
        <v>311</v>
      </c>
      <c r="D14" s="2" t="s">
        <v>312</v>
      </c>
      <c r="E14" s="2" t="s">
        <v>313</v>
      </c>
      <c r="F14" s="2" t="s">
        <v>277</v>
      </c>
      <c r="G14" s="2"/>
    </row>
  </sheetData>
  <mergeCells count="2">
    <mergeCell ref="A2:G2"/>
    <mergeCell ref="A1:G1"/>
  </mergeCells>
  <dataValidations count="1">
    <dataValidation type="list" sqref="F5:F14" xr:uid="{00000000-0002-0000-0500-000000000000}">
      <formula1>"Açık,Tamamlandı,Beklemede"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1"/>
  <sheetViews>
    <sheetView workbookViewId="0">
      <selection sqref="A1:H1"/>
    </sheetView>
  </sheetViews>
  <sheetFormatPr defaultRowHeight="14"/>
  <cols>
    <col min="1" max="1" width="14" customWidth="1"/>
    <col min="2" max="2" width="18" customWidth="1"/>
    <col min="3" max="4" width="42" customWidth="1"/>
    <col min="5" max="5" width="40" customWidth="1"/>
    <col min="6" max="6" width="36" customWidth="1"/>
    <col min="7" max="7" width="12" customWidth="1"/>
    <col min="8" max="8" width="26" customWidth="1"/>
  </cols>
  <sheetData>
    <row r="1" spans="1:26" ht="22.75" customHeight="1">
      <c r="A1" s="67" t="s">
        <v>314</v>
      </c>
      <c r="B1" s="65"/>
      <c r="C1" s="65"/>
      <c r="D1" s="65"/>
      <c r="E1" s="65"/>
      <c r="F1" s="65"/>
      <c r="G1" s="65"/>
      <c r="H1" s="65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16" customHeight="1">
      <c r="A2" s="66" t="s">
        <v>315</v>
      </c>
      <c r="B2" s="65"/>
      <c r="C2" s="65"/>
      <c r="D2" s="65"/>
      <c r="E2" s="65"/>
      <c r="F2" s="65"/>
      <c r="G2" s="65"/>
      <c r="H2" s="65"/>
    </row>
    <row r="4" spans="1:26" ht="15" customHeight="1">
      <c r="A4" s="1" t="s">
        <v>316</v>
      </c>
      <c r="B4" s="1" t="s">
        <v>317</v>
      </c>
      <c r="C4" s="1" t="s">
        <v>318</v>
      </c>
      <c r="D4" s="1" t="s">
        <v>319</v>
      </c>
      <c r="E4" s="1" t="s">
        <v>320</v>
      </c>
      <c r="F4" s="1" t="s">
        <v>321</v>
      </c>
      <c r="G4" s="1" t="s">
        <v>268</v>
      </c>
      <c r="H4" s="1" t="s">
        <v>322</v>
      </c>
    </row>
    <row r="5" spans="1:26" ht="28.5" customHeight="1">
      <c r="A5" s="2" t="s">
        <v>323</v>
      </c>
      <c r="B5" s="2" t="s">
        <v>324</v>
      </c>
      <c r="C5" s="2" t="s">
        <v>325</v>
      </c>
      <c r="D5" s="2" t="s">
        <v>326</v>
      </c>
      <c r="E5" s="2" t="s">
        <v>327</v>
      </c>
      <c r="F5" s="2" t="s">
        <v>328</v>
      </c>
      <c r="G5" s="2" t="s">
        <v>156</v>
      </c>
      <c r="H5" s="2" t="s">
        <v>329</v>
      </c>
    </row>
    <row r="6" spans="1:26" ht="28.5" customHeight="1">
      <c r="A6" s="2" t="s">
        <v>330</v>
      </c>
      <c r="B6" s="2" t="s">
        <v>331</v>
      </c>
      <c r="C6" s="2" t="s">
        <v>332</v>
      </c>
      <c r="D6" s="2" t="s">
        <v>333</v>
      </c>
      <c r="E6" s="2" t="s">
        <v>334</v>
      </c>
      <c r="F6" s="2" t="s">
        <v>335</v>
      </c>
      <c r="G6" s="2" t="s">
        <v>97</v>
      </c>
      <c r="H6" s="2"/>
    </row>
    <row r="7" spans="1:26" ht="28.5" customHeight="1">
      <c r="A7" s="2" t="s">
        <v>336</v>
      </c>
      <c r="B7" s="2" t="s">
        <v>337</v>
      </c>
      <c r="C7" s="2" t="s">
        <v>338</v>
      </c>
      <c r="D7" s="2" t="s">
        <v>339</v>
      </c>
      <c r="E7" s="2" t="s">
        <v>340</v>
      </c>
      <c r="F7" s="2" t="s">
        <v>341</v>
      </c>
      <c r="G7" s="2" t="s">
        <v>97</v>
      </c>
      <c r="H7" s="2"/>
    </row>
    <row r="8" spans="1:26" ht="28.5" customHeight="1">
      <c r="A8" s="2" t="s">
        <v>342</v>
      </c>
      <c r="B8" s="2" t="s">
        <v>343</v>
      </c>
      <c r="C8" s="2" t="s">
        <v>344</v>
      </c>
      <c r="D8" s="2" t="s">
        <v>345</v>
      </c>
      <c r="E8" s="2" t="s">
        <v>346</v>
      </c>
      <c r="F8" s="2" t="s">
        <v>347</v>
      </c>
      <c r="G8" s="2" t="s">
        <v>156</v>
      </c>
      <c r="H8" s="2"/>
    </row>
    <row r="9" spans="1:26" ht="28.5" customHeight="1">
      <c r="A9" s="2" t="s">
        <v>348</v>
      </c>
      <c r="B9" s="2" t="s">
        <v>349</v>
      </c>
      <c r="C9" s="2" t="s">
        <v>350</v>
      </c>
      <c r="D9" s="2" t="s">
        <v>351</v>
      </c>
      <c r="E9" s="2" t="s">
        <v>352</v>
      </c>
      <c r="F9" s="2" t="s">
        <v>353</v>
      </c>
      <c r="G9" s="2" t="s">
        <v>156</v>
      </c>
      <c r="H9" s="2" t="s">
        <v>354</v>
      </c>
    </row>
    <row r="10" spans="1:26" ht="28.5" customHeight="1">
      <c r="A10" s="2" t="s">
        <v>245</v>
      </c>
      <c r="B10" s="2" t="s">
        <v>355</v>
      </c>
      <c r="C10" s="2" t="s">
        <v>356</v>
      </c>
      <c r="D10" s="2" t="s">
        <v>357</v>
      </c>
      <c r="E10" s="2" t="s">
        <v>358</v>
      </c>
      <c r="F10" s="2" t="s">
        <v>359</v>
      </c>
      <c r="G10" s="2" t="s">
        <v>156</v>
      </c>
      <c r="H10" s="2" t="s">
        <v>360</v>
      </c>
    </row>
    <row r="11" spans="1:26" ht="28.5" customHeight="1">
      <c r="A11" s="2" t="s">
        <v>361</v>
      </c>
      <c r="B11" s="2" t="s">
        <v>362</v>
      </c>
      <c r="C11" s="2" t="s">
        <v>363</v>
      </c>
      <c r="D11" s="2" t="s">
        <v>364</v>
      </c>
      <c r="E11" s="2" t="s">
        <v>365</v>
      </c>
      <c r="F11" s="2" t="s">
        <v>366</v>
      </c>
      <c r="G11" s="2" t="s">
        <v>156</v>
      </c>
      <c r="H11" s="2" t="s">
        <v>367</v>
      </c>
    </row>
  </sheetData>
  <mergeCells count="2">
    <mergeCell ref="A2:H2"/>
    <mergeCell ref="A1:H1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5"/>
  <sheetViews>
    <sheetView workbookViewId="0">
      <selection sqref="A1:D1"/>
    </sheetView>
  </sheetViews>
  <sheetFormatPr defaultRowHeight="14"/>
  <cols>
    <col min="1" max="1" width="24" customWidth="1"/>
    <col min="2" max="2" width="30" customWidth="1"/>
    <col min="3" max="3" width="70" customWidth="1"/>
    <col min="4" max="4" width="58" customWidth="1"/>
  </cols>
  <sheetData>
    <row r="1" spans="1:26" ht="22.75" customHeight="1">
      <c r="A1" s="67" t="s">
        <v>368</v>
      </c>
      <c r="B1" s="65"/>
      <c r="C1" s="65"/>
      <c r="D1" s="65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16" customHeight="1">
      <c r="A2" s="66" t="s">
        <v>369</v>
      </c>
      <c r="B2" s="65"/>
      <c r="C2" s="65"/>
      <c r="D2" s="65"/>
    </row>
    <row r="4" spans="1:26" ht="15" customHeight="1">
      <c r="A4" s="1" t="s">
        <v>269</v>
      </c>
      <c r="B4" s="1" t="s">
        <v>370</v>
      </c>
      <c r="C4" s="1" t="s">
        <v>371</v>
      </c>
      <c r="D4" s="1" t="s">
        <v>89</v>
      </c>
    </row>
    <row r="5" spans="1:26" ht="28.5" customHeight="1">
      <c r="A5" s="2" t="s">
        <v>372</v>
      </c>
      <c r="B5" s="2" t="s">
        <v>373</v>
      </c>
      <c r="C5" s="2" t="s">
        <v>374</v>
      </c>
      <c r="D5" s="2" t="s">
        <v>375</v>
      </c>
    </row>
    <row r="6" spans="1:26" ht="28.5" customHeight="1">
      <c r="A6" s="2" t="s">
        <v>376</v>
      </c>
      <c r="B6" s="2" t="s">
        <v>377</v>
      </c>
      <c r="C6" s="2" t="s">
        <v>378</v>
      </c>
      <c r="D6" s="2" t="s">
        <v>379</v>
      </c>
    </row>
    <row r="7" spans="1:26">
      <c r="A7" s="2" t="s">
        <v>380</v>
      </c>
      <c r="B7" s="2" t="s">
        <v>381</v>
      </c>
      <c r="C7" s="2" t="s">
        <v>382</v>
      </c>
      <c r="D7" s="2" t="s">
        <v>383</v>
      </c>
    </row>
    <row r="8" spans="1:26">
      <c r="A8" s="2" t="s">
        <v>384</v>
      </c>
      <c r="B8" s="2" t="s">
        <v>385</v>
      </c>
      <c r="C8" s="2" t="s">
        <v>386</v>
      </c>
      <c r="D8" s="2" t="s">
        <v>387</v>
      </c>
    </row>
    <row r="9" spans="1:26" ht="28.5" customHeight="1">
      <c r="A9" s="2" t="s">
        <v>388</v>
      </c>
      <c r="B9" s="2" t="s">
        <v>389</v>
      </c>
      <c r="C9" s="2" t="s">
        <v>390</v>
      </c>
      <c r="D9" s="2" t="s">
        <v>391</v>
      </c>
    </row>
    <row r="10" spans="1:26">
      <c r="A10" s="2" t="s">
        <v>392</v>
      </c>
      <c r="B10" s="2" t="s">
        <v>393</v>
      </c>
      <c r="C10" s="2" t="s">
        <v>394</v>
      </c>
      <c r="D10" s="2" t="s">
        <v>395</v>
      </c>
    </row>
    <row r="11" spans="1:26">
      <c r="A11" s="2" t="s">
        <v>396</v>
      </c>
      <c r="B11" s="2" t="s">
        <v>397</v>
      </c>
      <c r="C11" s="2" t="s">
        <v>398</v>
      </c>
      <c r="D11" s="2" t="s">
        <v>399</v>
      </c>
    </row>
    <row r="12" spans="1:26">
      <c r="A12" s="2" t="s">
        <v>400</v>
      </c>
      <c r="B12" s="2" t="s">
        <v>401</v>
      </c>
      <c r="C12" s="2" t="s">
        <v>402</v>
      </c>
      <c r="D12" s="2" t="s">
        <v>403</v>
      </c>
    </row>
    <row r="13" spans="1:26">
      <c r="A13" s="2" t="s">
        <v>404</v>
      </c>
      <c r="B13" s="2" t="s">
        <v>405</v>
      </c>
      <c r="C13" s="2" t="s">
        <v>406</v>
      </c>
      <c r="D13" s="2" t="s">
        <v>407</v>
      </c>
    </row>
    <row r="14" spans="1:26">
      <c r="A14" s="2" t="s">
        <v>408</v>
      </c>
      <c r="B14" s="2" t="s">
        <v>409</v>
      </c>
      <c r="C14" s="2" t="s">
        <v>410</v>
      </c>
      <c r="D14" s="2" t="s">
        <v>411</v>
      </c>
    </row>
    <row r="15" spans="1:26">
      <c r="A15" s="2" t="s">
        <v>412</v>
      </c>
      <c r="B15" s="2" t="s">
        <v>413</v>
      </c>
      <c r="C15" s="2" t="s">
        <v>414</v>
      </c>
      <c r="D15" s="2" t="s">
        <v>415</v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9"/>
  <sheetViews>
    <sheetView tabSelected="1" view="pageLayout" topLeftCell="A18" zoomScaleNormal="100" workbookViewId="0">
      <selection sqref="A1:H1"/>
    </sheetView>
  </sheetViews>
  <sheetFormatPr defaultRowHeight="14"/>
  <cols>
    <col min="1" max="1" width="28.5" customWidth="1"/>
    <col min="2" max="2" width="23.75" bestFit="1" customWidth="1"/>
    <col min="3" max="3" width="20" bestFit="1" customWidth="1"/>
    <col min="4" max="4" width="26.1640625" bestFit="1" customWidth="1"/>
    <col min="5" max="5" width="15.5" bestFit="1" customWidth="1"/>
    <col min="6" max="6" width="14.75" bestFit="1" customWidth="1"/>
    <col min="7" max="7" width="22" customWidth="1"/>
    <col min="8" max="8" width="21" customWidth="1"/>
  </cols>
  <sheetData>
    <row r="1" spans="1:8" ht="40" customHeight="1">
      <c r="A1" s="64" t="s">
        <v>0</v>
      </c>
      <c r="B1" s="65"/>
      <c r="C1" s="65"/>
      <c r="D1" s="65"/>
      <c r="E1" s="65"/>
      <c r="F1" s="65"/>
      <c r="G1" s="65"/>
      <c r="H1" s="65"/>
    </row>
    <row r="3" spans="1:8" ht="17.5">
      <c r="A3" s="42" t="s">
        <v>1</v>
      </c>
    </row>
    <row r="4" spans="1:8" ht="15">
      <c r="A4" s="43" t="s">
        <v>2</v>
      </c>
    </row>
    <row r="5" spans="1:8" ht="24" customHeight="1">
      <c r="A5" s="44" t="s">
        <v>3</v>
      </c>
      <c r="B5" s="44" t="s">
        <v>4</v>
      </c>
      <c r="C5" s="44" t="s">
        <v>5</v>
      </c>
      <c r="D5" s="44" t="s">
        <v>6</v>
      </c>
    </row>
    <row r="6" spans="1:8" ht="20" customHeight="1">
      <c r="A6" s="45" t="s">
        <v>7</v>
      </c>
      <c r="B6" s="45" t="s">
        <v>8</v>
      </c>
      <c r="C6" s="45" t="s">
        <v>9</v>
      </c>
      <c r="D6" s="46">
        <v>3069.5645949999962</v>
      </c>
    </row>
    <row r="7" spans="1:8" ht="20" customHeight="1">
      <c r="A7" s="45" t="s">
        <v>10</v>
      </c>
      <c r="B7" s="45" t="s">
        <v>8</v>
      </c>
      <c r="C7" s="45" t="s">
        <v>7</v>
      </c>
      <c r="D7" s="46">
        <v>12348.5266405</v>
      </c>
    </row>
    <row r="8" spans="1:8" ht="20" customHeight="1">
      <c r="A8" s="45" t="s">
        <v>10</v>
      </c>
      <c r="B8" s="45" t="s">
        <v>8</v>
      </c>
      <c r="C8" s="45" t="s">
        <v>9</v>
      </c>
      <c r="D8" s="46">
        <v>33966.58058899999</v>
      </c>
    </row>
    <row r="11" spans="1:8" ht="17.5">
      <c r="A11" s="47" t="s">
        <v>11</v>
      </c>
    </row>
    <row r="12" spans="1:8" ht="15">
      <c r="A12" s="43" t="s">
        <v>12</v>
      </c>
    </row>
    <row r="13" spans="1:8" ht="24" customHeight="1">
      <c r="A13" s="44" t="s">
        <v>13</v>
      </c>
      <c r="B13" s="44" t="s">
        <v>3</v>
      </c>
      <c r="C13" s="44" t="s">
        <v>4</v>
      </c>
      <c r="D13" s="44" t="s">
        <v>5</v>
      </c>
      <c r="E13" s="44" t="s">
        <v>14</v>
      </c>
      <c r="F13" s="44" t="s">
        <v>15</v>
      </c>
    </row>
    <row r="14" spans="1:8" ht="20" customHeight="1">
      <c r="A14" s="48" t="s">
        <v>16</v>
      </c>
      <c r="B14" s="49" t="s">
        <v>7</v>
      </c>
      <c r="C14" s="49" t="s">
        <v>8</v>
      </c>
      <c r="D14" s="49" t="s">
        <v>9</v>
      </c>
      <c r="E14" s="50">
        <v>26040.36</v>
      </c>
      <c r="F14" s="51">
        <v>26040.36</v>
      </c>
    </row>
    <row r="15" spans="1:8" ht="20" customHeight="1">
      <c r="A15" s="48" t="s">
        <v>16</v>
      </c>
      <c r="B15" s="49" t="s">
        <v>10</v>
      </c>
      <c r="C15" s="49" t="s">
        <v>8</v>
      </c>
      <c r="D15" s="49" t="s">
        <v>9</v>
      </c>
      <c r="E15" s="50">
        <v>53199.859999999993</v>
      </c>
      <c r="F15" s="51">
        <v>53199.859999999993</v>
      </c>
    </row>
    <row r="16" spans="1:8" ht="20" customHeight="1">
      <c r="A16" s="48" t="s">
        <v>17</v>
      </c>
      <c r="B16" s="49" t="s">
        <v>9</v>
      </c>
      <c r="C16" s="49" t="s">
        <v>8</v>
      </c>
      <c r="D16" s="49" t="s">
        <v>7</v>
      </c>
      <c r="E16" s="52">
        <v>487.53</v>
      </c>
      <c r="F16" s="51">
        <v>25867.049845500002</v>
      </c>
    </row>
    <row r="17" spans="1:8" ht="20" customHeight="1">
      <c r="A17" s="48" t="s">
        <v>17</v>
      </c>
      <c r="B17" s="49" t="s">
        <v>9</v>
      </c>
      <c r="C17" s="49" t="s">
        <v>8</v>
      </c>
      <c r="D17" s="49" t="s">
        <v>10</v>
      </c>
      <c r="E17" s="52">
        <v>225.03</v>
      </c>
      <c r="F17" s="51">
        <v>11939.4954705</v>
      </c>
    </row>
    <row r="18" spans="1:8" ht="20" customHeight="1">
      <c r="A18" s="48" t="s">
        <v>18</v>
      </c>
      <c r="B18" s="49" t="s">
        <v>10</v>
      </c>
      <c r="C18" s="49" t="s">
        <v>8</v>
      </c>
      <c r="D18" s="49" t="s">
        <v>7</v>
      </c>
      <c r="E18" s="53">
        <v>1046</v>
      </c>
      <c r="F18" s="51">
        <v>5054.7426999999998</v>
      </c>
    </row>
    <row r="19" spans="1:8" ht="20" customHeight="1">
      <c r="A19" s="48" t="s">
        <v>18</v>
      </c>
      <c r="B19" s="49" t="s">
        <v>9</v>
      </c>
      <c r="C19" s="49" t="s">
        <v>8</v>
      </c>
      <c r="D19" s="49" t="s">
        <v>7</v>
      </c>
      <c r="E19" s="53">
        <v>910</v>
      </c>
      <c r="F19" s="51">
        <v>4397.5294999999996</v>
      </c>
    </row>
    <row r="22" spans="1:8" ht="17.5">
      <c r="A22" s="47" t="s">
        <v>19</v>
      </c>
    </row>
    <row r="23" spans="1:8" ht="24" customHeight="1">
      <c r="A23" s="44" t="s">
        <v>20</v>
      </c>
      <c r="B23" s="44" t="s">
        <v>21</v>
      </c>
      <c r="C23" s="44" t="s">
        <v>22</v>
      </c>
      <c r="D23" s="44" t="s">
        <v>23</v>
      </c>
    </row>
    <row r="24" spans="1:8" ht="20" customHeight="1">
      <c r="A24" s="48" t="s">
        <v>7</v>
      </c>
      <c r="B24" s="51">
        <v>126861.0242955</v>
      </c>
      <c r="C24" s="51">
        <v>117582.06225</v>
      </c>
      <c r="D24" s="50">
        <v>9278.9620454999967</v>
      </c>
    </row>
    <row r="25" spans="1:8" ht="20" customHeight="1">
      <c r="A25" s="48" t="s">
        <v>10</v>
      </c>
      <c r="B25" s="51">
        <v>79961.090173000004</v>
      </c>
      <c r="C25" s="51">
        <v>126276.19740249999</v>
      </c>
      <c r="D25" s="50">
        <v>-46315.10722949999</v>
      </c>
    </row>
    <row r="26" spans="1:8" ht="20" customHeight="1">
      <c r="A26" s="48" t="s">
        <v>9</v>
      </c>
      <c r="B26" s="51">
        <v>122143.7903275</v>
      </c>
      <c r="C26" s="51">
        <v>85107.645143500005</v>
      </c>
      <c r="D26" s="50">
        <v>37036.145183999979</v>
      </c>
    </row>
    <row r="29" spans="1:8" ht="17.5">
      <c r="A29" s="47" t="s">
        <v>24</v>
      </c>
    </row>
    <row r="30" spans="1:8" ht="15">
      <c r="A30" s="43" t="s">
        <v>25</v>
      </c>
    </row>
    <row r="31" spans="1:8" ht="24" customHeight="1">
      <c r="A31" s="54" t="s">
        <v>26</v>
      </c>
      <c r="B31" s="54" t="s">
        <v>27</v>
      </c>
      <c r="C31" s="54" t="s">
        <v>28</v>
      </c>
      <c r="D31" s="54" t="s">
        <v>13</v>
      </c>
      <c r="E31" s="54" t="s">
        <v>29</v>
      </c>
      <c r="F31" s="54" t="s">
        <v>30</v>
      </c>
      <c r="G31" s="54" t="s">
        <v>31</v>
      </c>
      <c r="H31" s="54" t="s">
        <v>15</v>
      </c>
    </row>
    <row r="32" spans="1:8" ht="20" customHeight="1">
      <c r="A32" s="49">
        <v>1</v>
      </c>
      <c r="B32" s="55" t="s">
        <v>32</v>
      </c>
      <c r="C32" s="55" t="s">
        <v>33</v>
      </c>
      <c r="D32" s="49" t="s">
        <v>16</v>
      </c>
      <c r="E32" s="48" t="s">
        <v>7</v>
      </c>
      <c r="F32" s="48" t="s">
        <v>9</v>
      </c>
      <c r="G32" s="51">
        <v>13071.3</v>
      </c>
      <c r="H32" s="51">
        <v>13071.3</v>
      </c>
    </row>
    <row r="33" spans="1:8" ht="20" customHeight="1">
      <c r="A33" s="56">
        <v>1</v>
      </c>
      <c r="B33" s="57" t="s">
        <v>32</v>
      </c>
      <c r="C33" s="57" t="s">
        <v>33</v>
      </c>
      <c r="D33" s="56" t="s">
        <v>16</v>
      </c>
      <c r="E33" s="58" t="s">
        <v>10</v>
      </c>
      <c r="F33" s="58" t="s">
        <v>9</v>
      </c>
      <c r="G33" s="59">
        <v>13071.3</v>
      </c>
      <c r="H33" s="59">
        <v>13071.3</v>
      </c>
    </row>
    <row r="34" spans="1:8" ht="20" customHeight="1">
      <c r="A34" s="49">
        <v>2</v>
      </c>
      <c r="B34" s="55" t="s">
        <v>32</v>
      </c>
      <c r="C34" s="55" t="s">
        <v>34</v>
      </c>
      <c r="D34" s="49" t="s">
        <v>16</v>
      </c>
      <c r="E34" s="48" t="s">
        <v>7</v>
      </c>
      <c r="F34" s="48" t="s">
        <v>9</v>
      </c>
      <c r="G34" s="51">
        <v>6047.72</v>
      </c>
      <c r="H34" s="51">
        <v>6047.72</v>
      </c>
    </row>
    <row r="35" spans="1:8" ht="20" customHeight="1">
      <c r="A35" s="56">
        <v>2</v>
      </c>
      <c r="B35" s="57" t="s">
        <v>32</v>
      </c>
      <c r="C35" s="57" t="s">
        <v>34</v>
      </c>
      <c r="D35" s="56" t="s">
        <v>16</v>
      </c>
      <c r="E35" s="58" t="s">
        <v>10</v>
      </c>
      <c r="F35" s="58" t="s">
        <v>9</v>
      </c>
      <c r="G35" s="59">
        <v>12095.44</v>
      </c>
      <c r="H35" s="59">
        <v>12095.44</v>
      </c>
    </row>
    <row r="36" spans="1:8" ht="20" customHeight="1">
      <c r="A36" s="49">
        <v>3</v>
      </c>
      <c r="B36" s="55" t="s">
        <v>32</v>
      </c>
      <c r="C36" s="55" t="s">
        <v>35</v>
      </c>
      <c r="D36" s="49" t="s">
        <v>17</v>
      </c>
      <c r="E36" s="48" t="s">
        <v>7</v>
      </c>
      <c r="F36" s="48" t="s">
        <v>10</v>
      </c>
      <c r="G36" s="60">
        <v>118.57</v>
      </c>
      <c r="H36" s="51">
        <v>6291.0099894999994</v>
      </c>
    </row>
    <row r="37" spans="1:8" ht="20" customHeight="1">
      <c r="A37" s="56">
        <v>3</v>
      </c>
      <c r="B37" s="57" t="s">
        <v>32</v>
      </c>
      <c r="C37" s="57" t="s">
        <v>35</v>
      </c>
      <c r="D37" s="56" t="s">
        <v>17</v>
      </c>
      <c r="E37" s="58" t="s">
        <v>9</v>
      </c>
      <c r="F37" s="58" t="s">
        <v>10</v>
      </c>
      <c r="G37" s="61">
        <v>103.58</v>
      </c>
      <c r="H37" s="59">
        <v>5495.6803129999998</v>
      </c>
    </row>
    <row r="38" spans="1:8" ht="20" customHeight="1">
      <c r="A38" s="49">
        <v>4</v>
      </c>
      <c r="B38" s="55" t="s">
        <v>36</v>
      </c>
      <c r="C38" s="55" t="s">
        <v>37</v>
      </c>
      <c r="D38" s="49" t="s">
        <v>17</v>
      </c>
      <c r="E38" s="48" t="s">
        <v>10</v>
      </c>
      <c r="F38" s="48" t="s">
        <v>7</v>
      </c>
      <c r="G38" s="60">
        <v>40</v>
      </c>
      <c r="H38" s="51">
        <v>2122.2939999999999</v>
      </c>
    </row>
    <row r="39" spans="1:8" ht="20" customHeight="1">
      <c r="A39" s="56">
        <v>4</v>
      </c>
      <c r="B39" s="57" t="s">
        <v>36</v>
      </c>
      <c r="C39" s="57" t="s">
        <v>37</v>
      </c>
      <c r="D39" s="56" t="s">
        <v>17</v>
      </c>
      <c r="E39" s="58" t="s">
        <v>9</v>
      </c>
      <c r="F39" s="58" t="s">
        <v>7</v>
      </c>
      <c r="G39" s="61">
        <v>20</v>
      </c>
      <c r="H39" s="59">
        <v>1061.1469999999999</v>
      </c>
    </row>
    <row r="40" spans="1:8" ht="20" customHeight="1">
      <c r="A40" s="49">
        <v>5</v>
      </c>
      <c r="B40" s="55" t="s">
        <v>36</v>
      </c>
      <c r="C40" s="55" t="s">
        <v>38</v>
      </c>
      <c r="D40" s="49" t="s">
        <v>16</v>
      </c>
      <c r="E40" s="48" t="s">
        <v>10</v>
      </c>
      <c r="F40" s="48" t="s">
        <v>7</v>
      </c>
      <c r="G40" s="51">
        <v>3436</v>
      </c>
      <c r="H40" s="51">
        <v>3436</v>
      </c>
    </row>
    <row r="41" spans="1:8" ht="20" customHeight="1">
      <c r="A41" s="56">
        <v>5</v>
      </c>
      <c r="B41" s="57" t="s">
        <v>36</v>
      </c>
      <c r="C41" s="57" t="s">
        <v>38</v>
      </c>
      <c r="D41" s="56" t="s">
        <v>16</v>
      </c>
      <c r="E41" s="58" t="s">
        <v>9</v>
      </c>
      <c r="F41" s="58" t="s">
        <v>7</v>
      </c>
      <c r="G41" s="59">
        <v>1718</v>
      </c>
      <c r="H41" s="59">
        <v>1718</v>
      </c>
    </row>
    <row r="42" spans="1:8" ht="20" customHeight="1">
      <c r="A42" s="49">
        <v>6</v>
      </c>
      <c r="B42" s="55" t="s">
        <v>36</v>
      </c>
      <c r="C42" s="55" t="s">
        <v>39</v>
      </c>
      <c r="D42" s="49" t="s">
        <v>16</v>
      </c>
      <c r="E42" s="48" t="s">
        <v>10</v>
      </c>
      <c r="F42" s="48" t="s">
        <v>7</v>
      </c>
      <c r="G42" s="51">
        <v>1458</v>
      </c>
      <c r="H42" s="51">
        <v>1458</v>
      </c>
    </row>
    <row r="43" spans="1:8" ht="20" customHeight="1">
      <c r="A43" s="56">
        <v>6</v>
      </c>
      <c r="B43" s="57" t="s">
        <v>36</v>
      </c>
      <c r="C43" s="57" t="s">
        <v>39</v>
      </c>
      <c r="D43" s="56" t="s">
        <v>16</v>
      </c>
      <c r="E43" s="58" t="s">
        <v>9</v>
      </c>
      <c r="F43" s="58" t="s">
        <v>7</v>
      </c>
      <c r="G43" s="59">
        <v>2916</v>
      </c>
      <c r="H43" s="59">
        <v>2916</v>
      </c>
    </row>
    <row r="44" spans="1:8" ht="20" customHeight="1">
      <c r="A44" s="49">
        <v>7</v>
      </c>
      <c r="B44" s="55" t="s">
        <v>40</v>
      </c>
      <c r="C44" s="55" t="s">
        <v>41</v>
      </c>
      <c r="D44" s="49" t="s">
        <v>17</v>
      </c>
      <c r="E44" s="48" t="s">
        <v>10</v>
      </c>
      <c r="F44" s="48" t="s">
        <v>7</v>
      </c>
      <c r="G44" s="60">
        <v>102</v>
      </c>
      <c r="H44" s="51">
        <v>5411.8496999999998</v>
      </c>
    </row>
    <row r="45" spans="1:8" ht="20" customHeight="1">
      <c r="A45" s="56">
        <v>7</v>
      </c>
      <c r="B45" s="57" t="s">
        <v>40</v>
      </c>
      <c r="C45" s="57" t="s">
        <v>41</v>
      </c>
      <c r="D45" s="56" t="s">
        <v>17</v>
      </c>
      <c r="E45" s="58" t="s">
        <v>9</v>
      </c>
      <c r="F45" s="58" t="s">
        <v>7</v>
      </c>
      <c r="G45" s="61">
        <v>66</v>
      </c>
      <c r="H45" s="59">
        <v>3501.7851000000001</v>
      </c>
    </row>
    <row r="46" spans="1:8" ht="20" customHeight="1">
      <c r="A46" s="49">
        <v>9</v>
      </c>
      <c r="B46" s="55" t="s">
        <v>42</v>
      </c>
      <c r="C46" s="55" t="s">
        <v>43</v>
      </c>
      <c r="D46" s="49" t="s">
        <v>18</v>
      </c>
      <c r="E46" s="48" t="s">
        <v>10</v>
      </c>
      <c r="F46" s="48" t="s">
        <v>7</v>
      </c>
      <c r="G46" s="62">
        <v>1046</v>
      </c>
      <c r="H46" s="51">
        <v>5054.7426999999998</v>
      </c>
    </row>
    <row r="47" spans="1:8" ht="20" customHeight="1">
      <c r="A47" s="56">
        <v>9</v>
      </c>
      <c r="B47" s="57" t="s">
        <v>42</v>
      </c>
      <c r="C47" s="57" t="s">
        <v>43</v>
      </c>
      <c r="D47" s="56" t="s">
        <v>18</v>
      </c>
      <c r="E47" s="58" t="s">
        <v>9</v>
      </c>
      <c r="F47" s="58" t="s">
        <v>7</v>
      </c>
      <c r="G47" s="63">
        <v>910</v>
      </c>
      <c r="H47" s="59">
        <v>4397.5294999999996</v>
      </c>
    </row>
    <row r="48" spans="1:8" ht="20" customHeight="1">
      <c r="A48" s="49">
        <v>10</v>
      </c>
      <c r="B48" s="55" t="s">
        <v>44</v>
      </c>
      <c r="C48" s="55" t="s">
        <v>45</v>
      </c>
      <c r="D48" s="49" t="s">
        <v>17</v>
      </c>
      <c r="E48" s="48" t="s">
        <v>7</v>
      </c>
      <c r="F48" s="48" t="s">
        <v>10</v>
      </c>
      <c r="G48" s="60">
        <v>106</v>
      </c>
      <c r="H48" s="51">
        <v>5624.0790999999999</v>
      </c>
    </row>
    <row r="49" spans="1:8" ht="20" customHeight="1">
      <c r="A49" s="56">
        <v>10</v>
      </c>
      <c r="B49" s="57" t="s">
        <v>44</v>
      </c>
      <c r="C49" s="57" t="s">
        <v>45</v>
      </c>
      <c r="D49" s="56" t="s">
        <v>17</v>
      </c>
      <c r="E49" s="58" t="s">
        <v>9</v>
      </c>
      <c r="F49" s="58" t="s">
        <v>10</v>
      </c>
      <c r="G49" s="61">
        <v>76.680000000000007</v>
      </c>
      <c r="H49" s="59">
        <v>4068.437598</v>
      </c>
    </row>
    <row r="50" spans="1:8" ht="20" customHeight="1">
      <c r="A50" s="49">
        <v>19</v>
      </c>
      <c r="B50" s="55" t="s">
        <v>44</v>
      </c>
      <c r="C50" s="55" t="s">
        <v>46</v>
      </c>
      <c r="D50" s="49" t="s">
        <v>17</v>
      </c>
      <c r="E50" s="48" t="s">
        <v>9</v>
      </c>
      <c r="F50" s="48" t="s">
        <v>10</v>
      </c>
      <c r="G50" s="60">
        <v>90</v>
      </c>
      <c r="H50" s="51">
        <v>4775.1615000000002</v>
      </c>
    </row>
    <row r="51" spans="1:8" ht="20" customHeight="1">
      <c r="A51" s="56">
        <v>12</v>
      </c>
      <c r="B51" s="57" t="s">
        <v>44</v>
      </c>
      <c r="C51" s="57" t="s">
        <v>47</v>
      </c>
      <c r="D51" s="56" t="s">
        <v>17</v>
      </c>
      <c r="E51" s="58" t="s">
        <v>9</v>
      </c>
      <c r="F51" s="58" t="s">
        <v>7</v>
      </c>
      <c r="G51" s="61">
        <v>95.4</v>
      </c>
      <c r="H51" s="59">
        <v>5061.67119</v>
      </c>
    </row>
    <row r="52" spans="1:8" ht="20" customHeight="1">
      <c r="A52" s="49">
        <v>13</v>
      </c>
      <c r="B52" s="55" t="s">
        <v>44</v>
      </c>
      <c r="C52" s="55" t="s">
        <v>48</v>
      </c>
      <c r="D52" s="49" t="s">
        <v>17</v>
      </c>
      <c r="E52" s="48" t="s">
        <v>10</v>
      </c>
      <c r="F52" s="48" t="s">
        <v>7</v>
      </c>
      <c r="G52" s="60">
        <v>127.8</v>
      </c>
      <c r="H52" s="51">
        <v>6780.7293300000001</v>
      </c>
    </row>
    <row r="53" spans="1:8" ht="20" customHeight="1">
      <c r="A53" s="56">
        <v>13</v>
      </c>
      <c r="B53" s="57" t="s">
        <v>44</v>
      </c>
      <c r="C53" s="57" t="s">
        <v>48</v>
      </c>
      <c r="D53" s="56" t="s">
        <v>17</v>
      </c>
      <c r="E53" s="58" t="s">
        <v>9</v>
      </c>
      <c r="F53" s="58" t="s">
        <v>7</v>
      </c>
      <c r="G53" s="61">
        <v>99.9</v>
      </c>
      <c r="H53" s="59">
        <v>5300.4292650000007</v>
      </c>
    </row>
    <row r="54" spans="1:8" ht="20" customHeight="1">
      <c r="A54" s="49">
        <v>15</v>
      </c>
      <c r="B54" s="55" t="s">
        <v>44</v>
      </c>
      <c r="C54" s="55" t="s">
        <v>49</v>
      </c>
      <c r="D54" s="49" t="s">
        <v>17</v>
      </c>
      <c r="E54" s="48" t="s">
        <v>9</v>
      </c>
      <c r="F54" s="48" t="s">
        <v>7</v>
      </c>
      <c r="G54" s="60">
        <v>161</v>
      </c>
      <c r="H54" s="51">
        <v>8542.2333500000004</v>
      </c>
    </row>
    <row r="55" spans="1:8" ht="20" customHeight="1">
      <c r="A55" s="56">
        <v>16</v>
      </c>
      <c r="B55" s="57" t="s">
        <v>32</v>
      </c>
      <c r="C55" s="57" t="s">
        <v>50</v>
      </c>
      <c r="D55" s="56" t="s">
        <v>16</v>
      </c>
      <c r="E55" s="58" t="s">
        <v>7</v>
      </c>
      <c r="F55" s="58" t="s">
        <v>9</v>
      </c>
      <c r="G55" s="59">
        <v>11919.56</v>
      </c>
      <c r="H55" s="59">
        <v>11919.56</v>
      </c>
    </row>
    <row r="56" spans="1:8" ht="20" customHeight="1">
      <c r="A56" s="49">
        <v>16</v>
      </c>
      <c r="B56" s="55" t="s">
        <v>32</v>
      </c>
      <c r="C56" s="55" t="s">
        <v>50</v>
      </c>
      <c r="D56" s="49" t="s">
        <v>16</v>
      </c>
      <c r="E56" s="48" t="s">
        <v>10</v>
      </c>
      <c r="F56" s="48" t="s">
        <v>9</v>
      </c>
      <c r="G56" s="51">
        <v>11919.56</v>
      </c>
      <c r="H56" s="51">
        <v>11919.56</v>
      </c>
    </row>
    <row r="57" spans="1:8" ht="20" customHeight="1">
      <c r="A57" s="56">
        <v>17</v>
      </c>
      <c r="B57" s="57" t="s">
        <v>32</v>
      </c>
      <c r="C57" s="57" t="s">
        <v>51</v>
      </c>
      <c r="D57" s="56" t="s">
        <v>16</v>
      </c>
      <c r="E57" s="58" t="s">
        <v>7</v>
      </c>
      <c r="F57" s="58" t="s">
        <v>9</v>
      </c>
      <c r="G57" s="59">
        <v>5609.78</v>
      </c>
      <c r="H57" s="59">
        <v>5609.78</v>
      </c>
    </row>
    <row r="58" spans="1:8" ht="20" customHeight="1">
      <c r="A58" s="49">
        <v>17</v>
      </c>
      <c r="B58" s="55" t="s">
        <v>32</v>
      </c>
      <c r="C58" s="55" t="s">
        <v>51</v>
      </c>
      <c r="D58" s="49" t="s">
        <v>16</v>
      </c>
      <c r="E58" s="48" t="s">
        <v>10</v>
      </c>
      <c r="F58" s="48" t="s">
        <v>9</v>
      </c>
      <c r="G58" s="51">
        <v>11219.56</v>
      </c>
      <c r="H58" s="51">
        <v>11219.56</v>
      </c>
    </row>
    <row r="59" spans="1:8" ht="20" customHeight="1">
      <c r="A59" s="56"/>
      <c r="B59" s="57"/>
      <c r="C59" s="57" t="s">
        <v>52</v>
      </c>
      <c r="D59" s="56" t="s">
        <v>16</v>
      </c>
      <c r="E59" s="58" t="s">
        <v>9</v>
      </c>
      <c r="F59" s="58" t="s">
        <v>7</v>
      </c>
      <c r="G59" s="59">
        <v>1080</v>
      </c>
      <c r="H59" s="59">
        <v>1080</v>
      </c>
    </row>
  </sheetData>
  <mergeCells count="1">
    <mergeCell ref="A1:H1"/>
  </mergeCells>
  <pageMargins left="0.75" right="0.75" top="1" bottom="1" header="0.5" footer="0.5"/>
  <pageSetup paperSize="9" scale="4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9</vt:i4>
      </vt:variant>
    </vt:vector>
  </HeadingPairs>
  <TitlesOfParts>
    <vt:vector size="9" baseType="lpstr">
      <vt:lpstr>Inputs</vt:lpstr>
      <vt:lpstr>Costs</vt:lpstr>
      <vt:lpstr>Sayfa1</vt:lpstr>
      <vt:lpstr>Dashboard</vt:lpstr>
      <vt:lpstr>Itinerary</vt:lpstr>
      <vt:lpstr>Plan_Check</vt:lpstr>
      <vt:lpstr>Recommendations</vt:lpstr>
      <vt:lpstr>Sources</vt:lpstr>
      <vt:lpstr>Borç ve Hesaplaşma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Gültekin Kadayıfcı</cp:lastModifiedBy>
  <cp:lastPrinted>2026-07-16T13:33:28Z</cp:lastPrinted>
  <dcterms:created xsi:type="dcterms:W3CDTF">2026-07-16T15:10:28Z</dcterms:created>
  <dcterms:modified xsi:type="dcterms:W3CDTF">2026-07-16T15:22:22Z</dcterms:modified>
</cp:coreProperties>
</file>